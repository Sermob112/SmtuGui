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Work\SmtuGui\"/>
    </mc:Choice>
  </mc:AlternateContent>
  <xr:revisionPtr revIDLastSave="0" documentId="8_{531F93C7-5F2F-46C9-9123-E517DDFABB06}" xr6:coauthVersionLast="47" xr6:coauthVersionMax="47" xr10:uidLastSave="{00000000-0000-0000-0000-000000000000}"/>
  <bookViews>
    <workbookView xWindow="-120" yWindow="-120" windowWidth="29040" windowHeight="15720" xr2:uid="{99256458-37EC-42E0-BE98-B49158E6BABB}"/>
  </bookViews>
  <sheets>
    <sheet name="НМЦК 2023+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1" l="1"/>
  <c r="Z35" i="1"/>
  <c r="Y35" i="1"/>
  <c r="X35" i="1"/>
  <c r="W35" i="1"/>
  <c r="Z34" i="1"/>
  <c r="Y34" i="1"/>
  <c r="X34" i="1"/>
  <c r="W34" i="1"/>
  <c r="AA34" i="1" s="1"/>
  <c r="Z33" i="1"/>
  <c r="Y33" i="1"/>
  <c r="X33" i="1"/>
  <c r="W33" i="1"/>
  <c r="AA33" i="1" s="1"/>
  <c r="Z32" i="1"/>
  <c r="Y32" i="1"/>
  <c r="X32" i="1"/>
  <c r="W32" i="1"/>
  <c r="AA32" i="1" s="1"/>
  <c r="Z31" i="1"/>
  <c r="Y31" i="1"/>
  <c r="X31" i="1"/>
  <c r="W31" i="1"/>
  <c r="AA31" i="1" s="1"/>
  <c r="Z30" i="1"/>
  <c r="Y30" i="1"/>
  <c r="X30" i="1"/>
  <c r="W30" i="1"/>
  <c r="AA30" i="1" s="1"/>
  <c r="Z29" i="1"/>
  <c r="Y29" i="1"/>
  <c r="X29" i="1"/>
  <c r="W29" i="1"/>
  <c r="AA29" i="1" s="1"/>
  <c r="Z28" i="1"/>
  <c r="Y28" i="1"/>
  <c r="X28" i="1"/>
  <c r="W28" i="1"/>
  <c r="AA28" i="1" s="1"/>
  <c r="Z27" i="1"/>
  <c r="Y27" i="1"/>
  <c r="X27" i="1"/>
  <c r="W27" i="1"/>
  <c r="AA27" i="1" s="1"/>
  <c r="Z26" i="1"/>
  <c r="Y26" i="1"/>
  <c r="X26" i="1"/>
  <c r="W26" i="1"/>
  <c r="AA26" i="1" s="1"/>
  <c r="Z25" i="1"/>
  <c r="Y25" i="1"/>
  <c r="X25" i="1"/>
  <c r="W25" i="1"/>
  <c r="AA25" i="1" s="1"/>
  <c r="Z24" i="1"/>
  <c r="Y24" i="1"/>
  <c r="X24" i="1"/>
  <c r="W24" i="1"/>
  <c r="AA24" i="1" s="1"/>
  <c r="Z23" i="1"/>
  <c r="Y23" i="1"/>
  <c r="X23" i="1"/>
  <c r="W23" i="1"/>
  <c r="AA23" i="1" s="1"/>
  <c r="Z22" i="1"/>
  <c r="Y22" i="1"/>
  <c r="X22" i="1"/>
  <c r="W22" i="1"/>
  <c r="AA22" i="1" s="1"/>
  <c r="Z21" i="1"/>
  <c r="Y21" i="1"/>
  <c r="X21" i="1"/>
  <c r="W21" i="1"/>
  <c r="AA21" i="1" s="1"/>
  <c r="Z20" i="1"/>
  <c r="Y20" i="1"/>
  <c r="X20" i="1"/>
  <c r="W20" i="1"/>
  <c r="AA20" i="1" s="1"/>
  <c r="Z19" i="1"/>
  <c r="Y19" i="1"/>
  <c r="X19" i="1"/>
  <c r="W19" i="1"/>
  <c r="AA19" i="1" s="1"/>
  <c r="Z18" i="1"/>
  <c r="Y18" i="1"/>
  <c r="X18" i="1"/>
  <c r="W18" i="1"/>
  <c r="AA18" i="1" s="1"/>
  <c r="Z17" i="1"/>
  <c r="Y17" i="1"/>
  <c r="X17" i="1"/>
  <c r="W17" i="1"/>
  <c r="AA17" i="1" s="1"/>
  <c r="Z16" i="1"/>
  <c r="Y16" i="1"/>
  <c r="X16" i="1"/>
  <c r="W16" i="1"/>
  <c r="AA16" i="1" s="1"/>
  <c r="Z15" i="1"/>
  <c r="Y15" i="1"/>
  <c r="X15" i="1"/>
  <c r="W15" i="1"/>
  <c r="AA15" i="1" s="1"/>
  <c r="Z14" i="1"/>
  <c r="Y14" i="1"/>
  <c r="X14" i="1"/>
  <c r="W14" i="1"/>
  <c r="AA14" i="1" s="1"/>
  <c r="Z13" i="1"/>
  <c r="Y13" i="1"/>
  <c r="X13" i="1"/>
  <c r="W13" i="1"/>
  <c r="AA13" i="1" s="1"/>
  <c r="Z12" i="1"/>
  <c r="Y12" i="1"/>
  <c r="X12" i="1"/>
  <c r="W12" i="1"/>
  <c r="AA12" i="1" s="1"/>
  <c r="Z11" i="1"/>
  <c r="Y11" i="1"/>
  <c r="X11" i="1"/>
  <c r="W11" i="1"/>
  <c r="AA11" i="1" s="1"/>
  <c r="Z10" i="1"/>
  <c r="Y10" i="1"/>
  <c r="X10" i="1"/>
  <c r="W10" i="1"/>
  <c r="AA10" i="1" s="1"/>
  <c r="Z9" i="1"/>
  <c r="Y9" i="1"/>
  <c r="X9" i="1"/>
  <c r="W9" i="1"/>
  <c r="AA9" i="1" s="1"/>
  <c r="Z8" i="1"/>
  <c r="Y8" i="1"/>
  <c r="X8" i="1"/>
  <c r="W8" i="1"/>
  <c r="AA8" i="1" s="1"/>
  <c r="Z7" i="1"/>
  <c r="Y7" i="1"/>
  <c r="X7" i="1"/>
  <c r="W7" i="1"/>
  <c r="AA7" i="1" s="1"/>
  <c r="Z6" i="1"/>
  <c r="Y6" i="1"/>
  <c r="X6" i="1"/>
  <c r="W6" i="1"/>
  <c r="AA6" i="1" s="1"/>
  <c r="Z5" i="1"/>
  <c r="Y5" i="1"/>
  <c r="X5" i="1"/>
  <c r="W5" i="1"/>
  <c r="AA5" i="1" s="1"/>
  <c r="Z4" i="1"/>
  <c r="Y4" i="1"/>
  <c r="X4" i="1"/>
  <c r="W4" i="1"/>
  <c r="AA4" i="1" s="1"/>
  <c r="Z3" i="1"/>
  <c r="Y3" i="1"/>
  <c r="X3" i="1"/>
  <c r="W3" i="1"/>
  <c r="AA3" i="1" s="1"/>
</calcChain>
</file>

<file path=xl/sharedStrings.xml><?xml version="1.0" encoding="utf-8"?>
<sst xmlns="http://schemas.openxmlformats.org/spreadsheetml/2006/main" count="1357" uniqueCount="255">
  <si>
    <t>Закон</t>
  </si>
  <si>
    <t>Реестровый Номер</t>
  </si>
  <si>
    <t>Метод Закупки</t>
  </si>
  <si>
    <t>Название Закупки</t>
  </si>
  <si>
    <t>Тема Аукциона</t>
  </si>
  <si>
    <t>Идентификационный Код Закупки</t>
  </si>
  <si>
    <t>Номер Лота</t>
  </si>
  <si>
    <t>Название Лота</t>
  </si>
  <si>
    <t>Начальная Максимальная Цена Контракта</t>
  </si>
  <si>
    <t>проект судна</t>
  </si>
  <si>
    <t>Количество судов</t>
  </si>
  <si>
    <t>Количество запросов</t>
  </si>
  <si>
    <t>Количество ответов</t>
  </si>
  <si>
    <t>Предложение 1</t>
  </si>
  <si>
    <t>Предложение 2</t>
  </si>
  <si>
    <t>Предложение 3</t>
  </si>
  <si>
    <t>Предложение 4</t>
  </si>
  <si>
    <t>Предложение 5</t>
  </si>
  <si>
    <t>дата определения НМЦК</t>
  </si>
  <si>
    <t>Среднее значение цены</t>
  </si>
  <si>
    <t>Минимальная цена</t>
  </si>
  <si>
    <t>Максимальная цена</t>
  </si>
  <si>
    <t>Среднее квадратичное отклонение</t>
  </si>
  <si>
    <t>Коэффициент вариации</t>
  </si>
  <si>
    <t>223-ФЗ</t>
  </si>
  <si>
    <t>Прочие</t>
  </si>
  <si>
    <t>Запрос котировок в электронной форме (№ ЦА 72-25) по выбору организации на право заключения договора на выполнение работ по проектированию и достройке лоцмейстерских судов стр. № 702 «Гидрограф Равдин» и стр. № 703 «Анатолий Климов» до требований проекта BLV04 для Северо-Западного и Азово-Черноморского бассейновых филиалов ФГУП «Росморпорт»</t>
  </si>
  <si>
    <t>Нет данных</t>
  </si>
  <si>
    <t>BLV04</t>
  </si>
  <si>
    <t>нет</t>
  </si>
  <si>
    <t>44-ФЗ</t>
  </si>
  <si>
    <t>0122200002526000280</t>
  </si>
  <si>
    <t>Электронный аукцион</t>
  </si>
  <si>
    <t>Поставка земснаряда</t>
  </si>
  <si>
    <t>—</t>
  </si>
  <si>
    <t>1200500023126000002</t>
  </si>
  <si>
    <t>Поставка амфибийного пассажирского судна на воздушной подушке</t>
  </si>
  <si>
    <t xml:space="preserve">РМ44 </t>
  </si>
  <si>
    <t>1200500023126000001</t>
  </si>
  <si>
    <t>0332100025625000034</t>
  </si>
  <si>
    <t>Оказание услуг по финансовой аренде (лизингу) несамоходного мелкосидящего земснаряда сборно-разборного типа с фрезерным рыхлением проекта Ц480ДА</t>
  </si>
  <si>
    <t>Ц480ДА</t>
  </si>
  <si>
    <t>0332100025625000033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</si>
  <si>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проекта Ц490ДМ1</t>
  </si>
  <si>
    <t>Ц490ДМ1</t>
  </si>
  <si>
    <t>0122200002525004873</t>
  </si>
  <si>
    <t>Оказание услуг по финансовой аренде (лизингу) земснаряда</t>
  </si>
  <si>
    <t>0332100025625000027</t>
  </si>
  <si>
    <t>0332100025625000028</t>
  </si>
  <si>
    <t>32515460613</t>
  </si>
  <si>
    <t>выполнение работ по изготовлению (строительству) пассажирского судна на подводных крыльях</t>
  </si>
  <si>
    <t>0372100027325000462</t>
  </si>
  <si>
    <t>Оказание услуг финансовой аренды (лизинга) мелкосидящего земснаряда</t>
  </si>
  <si>
    <t>946 662 043, 74</t>
  </si>
  <si>
    <t>1 098 580 892, 37</t>
  </si>
  <si>
    <t>0329100005925000163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</si>
  <si>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 (производительностью не менее 500 м3/час по грунту)</t>
  </si>
  <si>
    <t>Ц 490 ДМ1</t>
  </si>
  <si>
    <t>0818500000825006679</t>
  </si>
  <si>
    <t>Многофункциональный самоходный земснаряд-амфибия</t>
  </si>
  <si>
    <t>0358100002225000202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</si>
  <si>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(производительностью не менее 500 м3/час по грунту)</t>
  </si>
  <si>
    <t>0352100012725000053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</si>
  <si>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производительностью 500 м3/час</t>
  </si>
  <si>
    <t>0356100002325000014</t>
  </si>
  <si>
    <t>0319100033325000114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</si>
  <si>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</t>
  </si>
  <si>
    <t>Ц490ДМ1 (или эквивалент)</t>
  </si>
  <si>
    <t>0818500000825005513</t>
  </si>
  <si>
    <t>Многофункциональный земснаряд</t>
  </si>
  <si>
    <t>32514992746</t>
  </si>
  <si>
    <t>Поставка фрезерного земснаряда типа JLCSD6000 (или аналог) и судна обеспечения фрезерного земснаряда для нужд Сахалинского филиала ФГУП «Росморпорт» (ЦА 46-25)</t>
  </si>
  <si>
    <t>32514997315</t>
  </si>
  <si>
    <t>запрос котировок в электронной форме № АЧБФ-Н-250-25 по выбору организации на поставку самоходной, саморазгружающейся шаланды (грунтовоз) для нужд Азово-Черноморского бассейнового филиала ФГУП «Росморпорт»</t>
  </si>
  <si>
    <t>32514992831</t>
  </si>
  <si>
    <t>поставка 3-х единиц мотозавозен (судов-буксиров) для нужд Астраханского филиала ФГУП «Росморпорт» (ЦА 47-25)</t>
  </si>
  <si>
    <t>32514992951</t>
  </si>
  <si>
    <t>Запрос цен в неэлектронной форме (№ ЦА 28-25) по выбору организации на право заключения договора на поставку двух буксиров с азимутальными подруливающими устройствами для нужд Дальневосточного бассейнового филиала ФГУП «Росморпорт»</t>
  </si>
  <si>
    <t>32514953432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</si>
  <si>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«Росморпорт» (КУ 25-25)</t>
  </si>
  <si>
    <t>32514922637</t>
  </si>
  <si>
    <t>Извещение о запросе котировок в электронной форме № АЧБФ-ТА-224-25 по выбору организации на поставку гидрографического катера.</t>
  </si>
  <si>
    <t>32514906548</t>
  </si>
  <si>
    <t>Запрос котировок в электронной форме №АСТР 43 (2)-25 по выбору поставщика несамоходного судна с жилыми помещениями для проживания экипажей земснарядов и гидрографических катеров на Волго-Каспийском морском судоходном канале</t>
  </si>
  <si>
    <t>32514832287</t>
  </si>
  <si>
    <t>Запрос котировок в электронной форме № АСТР 43-25 по выбору поставщика несамоходного судна с жилыми помещениями для проживания экипажей земснарядов и гидрографических катеров на Волго-Каспийском морском судоходном канале</t>
  </si>
  <si>
    <t>0145200000425000608</t>
  </si>
  <si>
    <t>Поставка маломерного судна</t>
  </si>
  <si>
    <t>0330300051225000044</t>
  </si>
  <si>
    <t>Поставка (приобретение) водного транспорта</t>
  </si>
  <si>
    <t>0860200000825002601</t>
  </si>
  <si>
    <t>Поставка пассажирского теплохода на подводных крыльях</t>
  </si>
  <si>
    <t>0130300016825000003</t>
  </si>
  <si>
    <t>Поставка пассажирского судна (катамаран)</t>
  </si>
  <si>
    <t>LOOKER 1100HB</t>
  </si>
  <si>
    <t>0373100089325000018</t>
  </si>
  <si>
    <t>Поставка земснаряда (1 ед) для нужд ФГБВУ «Центррегионводхоз»</t>
  </si>
  <si>
    <t>ТСК.571</t>
  </si>
  <si>
    <t>32514614530</t>
  </si>
  <si>
    <t>Поставка земкаравана в составе многочерпакового земснаряда проекта 1519 (или аналогичного) и трех самоходных грунтоотвозных шаланд проекта 81030 (или аналогичного) для нужд Махачкалинского филиала ФГУП «Росморпорт» (ЦА 07-25)</t>
  </si>
  <si>
    <t>0373100089325000006</t>
  </si>
  <si>
    <t>0352100012724000123</t>
  </si>
  <si>
    <t>1 300 590 800‬,00</t>
  </si>
  <si>
    <t>21,34%</t>
  </si>
  <si>
    <t>0319100033324000200</t>
  </si>
  <si>
    <t>Проект Ц 490 ДМ1 (или эквивалент)</t>
  </si>
  <si>
    <t>15,04 %</t>
  </si>
  <si>
    <t>32414343452</t>
  </si>
  <si>
    <t>Запрос котировок в электронной форме (№ ЦА 68-24) по выбору организации на право заключения договора на проектирование и строительство морского накатного самоходного судна (плашкоута) для Северо-Восточного бассейнового филиала ФГУП «Росморпорт»</t>
  </si>
  <si>
    <t>32414317218</t>
  </si>
  <si>
    <t>Запрос котировок в электронной форме (№ ЦА 71-24) по выбору организации на право заключения договора на выполнение работ по проектированию и строительству шести самоходных самораскрывающихся шаланд для нужд Азово-Черноморского бассейнового филиала ФГУП «Росморпорт»</t>
  </si>
  <si>
    <t>32414311141</t>
  </si>
  <si>
    <t>выполнение работ по строительству буксира ледового класса Arc6 (ЦА 70-24)</t>
  </si>
  <si>
    <t>0142200001324030481</t>
  </si>
  <si>
    <t>Закупка и поставка пассажирских речных судов на подводных крыльях</t>
  </si>
  <si>
    <t>0142200001324030482</t>
  </si>
  <si>
    <t>0832200006624001505</t>
  </si>
  <si>
    <t>Поставка речного пассажирского судна на подводных крыльях</t>
  </si>
  <si>
    <t>0860200000824010084</t>
  </si>
  <si>
    <t>0860200000824010096</t>
  </si>
  <si>
    <t>0329100005924000390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</si>
  <si>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</t>
  </si>
  <si>
    <t>Проект Ц 490 ДМ1</t>
  </si>
  <si>
    <t>0352100012724000103</t>
  </si>
  <si>
    <t>Оказание услуг по финансовой аренде (лизингу) несамоходного мелкосидящего земснаряда сборно-разборного типа с фрезерным и гидравлическим рыхлением</t>
  </si>
  <si>
    <t xml:space="preserve">1 300 590 800‬,00 </t>
  </si>
  <si>
    <t>0129200005324003660</t>
  </si>
  <si>
    <t>Поставка пассажирских речных судов на подводных крыльях</t>
  </si>
  <si>
    <t>0367300047424000331</t>
  </si>
  <si>
    <t>Постройка судов, необходимых для организации переправы в муниципальном образовании город Тобольск</t>
  </si>
  <si>
    <t>237 820 116,14</t>
  </si>
  <si>
    <t>255 000 000</t>
  </si>
  <si>
    <t>245 500 000</t>
  </si>
  <si>
    <t>245 940 038,67</t>
  </si>
  <si>
    <t>0367300047424000330</t>
  </si>
  <si>
    <t>32414166993</t>
  </si>
  <si>
    <t>Поставка буксира-толкача проекта С0751 и сухогрузной баржи ВД-3759 (544)</t>
  </si>
  <si>
    <t>0319100033324000175</t>
  </si>
  <si>
    <t>0367300047424000293</t>
  </si>
  <si>
    <t>2,93%</t>
  </si>
  <si>
    <t>32414089692</t>
  </si>
  <si>
    <t>Поставка двух самоходных самораскрывающихся шаланд для нужд Дальневосточного бассейнового филиала (ЦА 43-24)</t>
  </si>
  <si>
    <t>32414090396</t>
  </si>
  <si>
    <t>Поставка двух буксиров с азимутальными подруливающими устройствами для нужд Дальневосточного бассейнового филиала ФГУП «Росморпорт» (Ца 46-24)</t>
  </si>
  <si>
    <t>0352100012724000085</t>
  </si>
  <si>
    <t>Оказание услуг по финансовой аренде (лизингу) несамоходного мелкосидящего земснаряда сборно-разборного типа с фрезерным и гидравлическим рыхлителем</t>
  </si>
  <si>
    <t>21,53 %</t>
  </si>
  <si>
    <t>0319100033324000152</t>
  </si>
  <si>
    <t>14,38 %</t>
  </si>
  <si>
    <t>0319100038624000117</t>
  </si>
  <si>
    <t>Оказание услуг по финансовой аренде (лизингу) несамоходного мелкосидящего земснаряда сборно-разборного типа с фрезерным рыхлителем</t>
  </si>
  <si>
    <t>Проект Ц 480 ДА (или эквивалент)</t>
  </si>
  <si>
    <t>20,66 %</t>
  </si>
  <si>
    <t>0818500000824005907</t>
  </si>
  <si>
    <t>Поставка многофункционального земснаряда</t>
  </si>
  <si>
    <t>0,64 %</t>
  </si>
  <si>
    <t>0818500000824005646</t>
  </si>
  <si>
    <t>0156200009924000912</t>
  </si>
  <si>
    <t>Оказание услуг по финансовой аренде (лизингу) пассажирского судна</t>
  </si>
  <si>
    <t>13,58%</t>
  </si>
  <si>
    <t>32413852352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</si>
  <si>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39-24)</t>
  </si>
  <si>
    <t>0352100012724000060</t>
  </si>
  <si>
    <t>0319100038624000105</t>
  </si>
  <si>
    <t>0316100015224000290</t>
  </si>
  <si>
    <t>Оказание услуг финансовой аренды (лизинга) специализированной техники - несамоходного мелкосидящего земснаряда с гидравлическим рыхлением сборно-разборного типа для нужд ФБУ "Администрация Ленского бассейна"</t>
  </si>
  <si>
    <t>0324100010424000098</t>
  </si>
  <si>
    <t>23,66%</t>
  </si>
  <si>
    <t>0324100010424000097</t>
  </si>
  <si>
    <t>21,83</t>
  </si>
  <si>
    <t>0145200000424000902</t>
  </si>
  <si>
    <t>2,06%</t>
  </si>
  <si>
    <t>0372100027324000022</t>
  </si>
  <si>
    <t>32413557523</t>
  </si>
  <si>
    <t>Выполнение работ по проектированию и строительству морского буксира и несамоходного плашкоута для нужд областного государственного унитарного предприятия «Дирекция Рыбного порта Магадан»</t>
  </si>
  <si>
    <t>0,95%</t>
  </si>
  <si>
    <t>32413499773</t>
  </si>
  <si>
    <t>Закупка у единственного поставщика (подрядчика, исполнителя) (до 01.07.18)</t>
  </si>
  <si>
    <t>Поставка и монтаж земснаряда с дизельной электростанцией для нужд АО "БСК".</t>
  </si>
  <si>
    <t>32413471483</t>
  </si>
  <si>
    <t>Поставка судна SBS-0609 (челночного катер)</t>
  </si>
  <si>
    <t xml:space="preserve">Проект SBS-0609 </t>
  </si>
  <si>
    <t>0500500003224000001</t>
  </si>
  <si>
    <t>Открытый конкурс в электронной форме</t>
  </si>
  <si>
    <t>32413400753</t>
  </si>
  <si>
    <t>Запрос цен (№ ЦА 07-24) по выбору организации на право заключения договора на выполнение работ по проектированию и строительству двух самоходных самораскрывающихся шаланд для Дальневосточного бассейнового филиала ФГУП «Росморпорт» (подача заявок в неэлектронной форме, в запечатанных конвертах)</t>
  </si>
  <si>
    <t>0372100027324000001</t>
  </si>
  <si>
    <t>632 685 057, 40</t>
  </si>
  <si>
    <t>0860200000824000316</t>
  </si>
  <si>
    <t>1,88%</t>
  </si>
  <si>
    <t>0860200000824000314</t>
  </si>
  <si>
    <t>32413169585</t>
  </si>
  <si>
    <t>Поставка земснаряда с дизельной электростанцией</t>
  </si>
  <si>
    <t>2025-2026</t>
  </si>
  <si>
    <t>Предложение 6</t>
  </si>
  <si>
    <t>Предложение 7</t>
  </si>
  <si>
    <t>Предложение 8</t>
  </si>
  <si>
    <t>Выполнение работ по проектированию и строительству трех портовых буксиров с ледовым классом для нужд ФГУП «Росморпорт» (ЦА 66-23)</t>
  </si>
  <si>
    <t>Запрос предложений в электронной форме (№ ЦА 62-23) по выбору организации на право заключения договора на приобретение буксира с азимутальными подруливающими устройствами для нужд Дальневосточного бассейнового филиала ФГУП «Росморпорт»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</si>
  <si>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82-23)</t>
  </si>
  <si>
    <t>Запрос котировок в электронной форме (№ ЦА 55-23) по выбору организации на право заключения договора на выполнение работ по проектированию и строительству двух нефтемусоросборщиков для Дальневосточного бассейнового филиала ФГУП «Росморпорт»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</si>
  <si>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77-23)</t>
  </si>
  <si>
    <t>Запрос котировок в электронной форме (№ ЦА 53-23) по выбору организации на право заключения договора на приобретение двух буксиров для нужд Астраханского филиала ФГУП «Росморпорт»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</si>
  <si>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"Росморпорт" (КУ 59-23)</t>
  </si>
  <si>
    <t>Запрос заявок (№ РМП 01-23) по выбору организации на право заключения договора на поставку автомобильно-пассажирского парома</t>
  </si>
  <si>
    <t>Запрос заявок (№ ЦА 49-23) по выбору организации на право заключения договора на поставку автомобильно-пассажирского парома для нужд ФГУП «Росморпорт» (подача заявок в неэлектронной форме, в запечатанных конвертах)</t>
  </si>
  <si>
    <t>0171200001923002874</t>
  </si>
  <si>
    <t>Приобретение плавучих объектов (комплексов понтонных причалов) для причаливания и швартовки, пассажирских судов.</t>
  </si>
  <si>
    <t>2300500000323000002</t>
  </si>
  <si>
    <t>Суда речные пассажирские</t>
  </si>
  <si>
    <t>ПОСТАВКА ТРАНСПОРТНОГО ПОНТОНА</t>
  </si>
  <si>
    <t>2300500000323000001</t>
  </si>
  <si>
    <t>Строительство несамоходного фрезерного земснаряда высокой производительности проекта FPDG3</t>
  </si>
  <si>
    <t>Проект FPDG3</t>
  </si>
  <si>
    <t>0352100012723000048</t>
  </si>
  <si>
    <t>Оказание услуг по финансовой аренде (лизингу) самоходного роторно-ковшевого земснаряда с роторным рыхлителем</t>
  </si>
  <si>
    <t xml:space="preserve">Проект 93.159 </t>
  </si>
  <si>
    <t>0322100015823000038</t>
  </si>
  <si>
    <t>Финансовая аренда (лизинг) несамоходного мелкосидящего земснаряда сборно-разборного типа с гидравлическим разрыхлителем</t>
  </si>
  <si>
    <t xml:space="preserve">Проект Ц490ДА </t>
  </si>
  <si>
    <t>Поставка транспортного понтона</t>
  </si>
  <si>
    <t>0324100010423000160</t>
  </si>
  <si>
    <t>Оказание услуг по финансовой аренде (лизингу) самоходного роторно-ковшевого земснаряда с фрезерным рыхлителем</t>
  </si>
  <si>
    <t xml:space="preserve">0352100012723000047 </t>
  </si>
  <si>
    <t>Оказание услуг по финансовой аренде (лизингу) несамоходного мелкосидящего земснаряда сборно-разборного типа с фрезерным и гидравлическим разрыхлителем</t>
  </si>
  <si>
    <t>Проект Ц490ДА</t>
  </si>
  <si>
    <t>0352100012723000046</t>
  </si>
  <si>
    <t>Оказание услуг по финансовой аренде (лизингу) несамоходного мелкосидящего земснаряда сборно-разборного типа с гидравлическим разрыхлителем</t>
  </si>
  <si>
    <t>0332100025623000030</t>
  </si>
  <si>
    <t>Оказание услуг по финансовой аренде (лизингу) дноуглубительного самоходного роторно-ковшевого земснаряда с роторным рыхлителем проекта 93.159</t>
  </si>
  <si>
    <t>Проект 93.159</t>
  </si>
  <si>
    <t>0324100010423000159</t>
  </si>
  <si>
    <t>Выполнение работ по строительству несамоходного грузопассажирского парома для нужд АО «ПассажирРечТранс»</t>
  </si>
  <si>
    <t>Поставка несамоходных сухогрузных барж</t>
  </si>
  <si>
    <t>0173100005023000011</t>
  </si>
  <si>
    <t>Поставка построенных патрульных катеров длиной 11-13,5 метров</t>
  </si>
  <si>
    <t>0372100027323000036</t>
  </si>
  <si>
    <t>Проект Ц480ДА</t>
  </si>
  <si>
    <t>ПОСТАВКА ПЛАВКРАНА</t>
  </si>
  <si>
    <t>Поставка теплохода медицинского назначения</t>
  </si>
  <si>
    <t>0173100005023000008</t>
  </si>
  <si>
    <t>0171200001923001380</t>
  </si>
  <si>
    <t>Приобретение плавучего объекта (понтонного причала) для причаливания и швартовки грузопассажирского парома на правом и левом берегах реки в г. Тутаеве.</t>
  </si>
  <si>
    <t>0372200084223000040</t>
  </si>
  <si>
    <t>Выполнение работ по строительству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</si>
  <si>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0172200002523000160</t>
  </si>
  <si>
    <t>Поставка судна для государственных нужд Санкт-Петербурга в 2023 году</t>
  </si>
  <si>
    <t>0122300017023000012</t>
  </si>
  <si>
    <t>Поставка маломерного спасательного судна, для нужд городского поселения "Город Амурск"</t>
  </si>
  <si>
    <t>0372200084223000012</t>
  </si>
  <si>
    <t>Поставка продукции судостроительной промышленности –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</si>
  <si>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Запрос котировок в электронной форме (№ ЦА 83-22) по выбору организации на право заключения договора на выполнение работ по строительству разъездного катера для Астраханского филиала ФГУП «Росморпорт»</t>
  </si>
  <si>
    <t xml:space="preserve">исключено из расчета НМЦД </t>
  </si>
  <si>
    <t>Запрос цен (№ ЦА 01-23) по выбору организации на право заключения договора на поставку автомобильно-пассажирского парома для нужд ФГУП «Росморпорт»</t>
  </si>
  <si>
    <t>Запрос котировок в электронной форме (№ ЦА 62-22) по выбору организации на право заключения договора на выполнение работ по проектированию и строительству судна обеспечения работы земснаряда для Астраханского филиала ФГУП «Росморпорт»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</si>
</sst>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_-;\-* #,##0.0_-;_-* &quot;-&quot;??_-;_-@_-"/>
    <numFmt numFmtId="165" formatCode="yyyy\-mm\-dd"/>
    <numFmt numFmtId="166" formatCode="#,##0.00_ ;\-#,##0.00\ "/>
    <numFmt numFmtId="167" formatCode="d/m/yy;@"/>
    <numFmt numFmtId="168" formatCode="dd/mm/yy;@"/>
    <numFmt numFmtId="169" formatCode="#,##0.00\ [$€-1]"/>
    <numFmt numFmtId="170" formatCode="[$$-409]#,##0.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3" fontId="5" fillId="0" borderId="0" xfId="1" applyFont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Alignment="1"/>
    <xf numFmtId="0" fontId="5" fillId="2" borderId="0" xfId="0" applyFont="1" applyFill="1" applyAlignment="1">
      <alignment horizontal="right"/>
    </xf>
    <xf numFmtId="43" fontId="5" fillId="0" borderId="0" xfId="1" applyFont="1" applyAlignment="1"/>
    <xf numFmtId="43" fontId="5" fillId="2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right"/>
    </xf>
    <xf numFmtId="14" fontId="5" fillId="2" borderId="1" xfId="0" applyNumberFormat="1" applyFont="1" applyFill="1" applyBorder="1" applyAlignment="1">
      <alignment horizontal="center"/>
    </xf>
    <xf numFmtId="43" fontId="5" fillId="0" borderId="0" xfId="0" applyNumberFormat="1" applyFont="1" applyAlignment="1"/>
    <xf numFmtId="10" fontId="5" fillId="0" borderId="0" xfId="2" applyNumberFormat="1" applyFont="1" applyAlignment="1"/>
    <xf numFmtId="0" fontId="8" fillId="0" borderId="0" xfId="3" applyFont="1" applyAlignment="1">
      <alignment horizontal="right"/>
    </xf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5" fillId="2" borderId="1" xfId="1" applyNumberFormat="1" applyFont="1" applyFill="1" applyBorder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right"/>
    </xf>
    <xf numFmtId="43" fontId="6" fillId="0" borderId="0" xfId="1" applyFont="1" applyAlignment="1"/>
    <xf numFmtId="43" fontId="6" fillId="2" borderId="0" xfId="1" applyFont="1" applyFill="1" applyAlignment="1"/>
    <xf numFmtId="0" fontId="6" fillId="2" borderId="0" xfId="0" applyFont="1" applyFill="1" applyAlignment="1"/>
    <xf numFmtId="43" fontId="6" fillId="2" borderId="0" xfId="1" applyFont="1" applyFill="1" applyAlignment="1">
      <alignment horizontal="right"/>
    </xf>
    <xf numFmtId="43" fontId="5" fillId="2" borderId="0" xfId="1" applyFont="1" applyFill="1" applyAlignment="1"/>
    <xf numFmtId="0" fontId="5" fillId="2" borderId="0" xfId="0" applyFont="1" applyFill="1" applyAlignment="1"/>
    <xf numFmtId="43" fontId="5" fillId="2" borderId="0" xfId="1" applyFont="1" applyFill="1" applyAlignment="1">
      <alignment horizontal="right"/>
    </xf>
    <xf numFmtId="0" fontId="5" fillId="0" borderId="0" xfId="4" applyFont="1" applyAlignment="1"/>
    <xf numFmtId="43" fontId="5" fillId="0" borderId="0" xfId="5" applyFont="1" applyAlignment="1"/>
    <xf numFmtId="0" fontId="5" fillId="3" borderId="1" xfId="4" applyFont="1" applyFill="1" applyBorder="1" applyAlignment="1">
      <alignment horizontal="center"/>
    </xf>
    <xf numFmtId="4" fontId="5" fillId="3" borderId="1" xfId="4" applyNumberFormat="1" applyFont="1" applyFill="1" applyBorder="1" applyAlignment="1">
      <alignment horizontal="center"/>
    </xf>
    <xf numFmtId="165" fontId="5" fillId="3" borderId="1" xfId="4" applyNumberFormat="1" applyFont="1" applyFill="1" applyBorder="1" applyAlignment="1">
      <alignment horizontal="center"/>
    </xf>
    <xf numFmtId="2" fontId="5" fillId="3" borderId="1" xfId="4" applyNumberFormat="1" applyFont="1" applyFill="1" applyBorder="1" applyAlignment="1">
      <alignment horizontal="center"/>
    </xf>
    <xf numFmtId="49" fontId="5" fillId="3" borderId="1" xfId="4" applyNumberFormat="1" applyFont="1" applyFill="1" applyBorder="1" applyAlignment="1">
      <alignment horizontal="center"/>
    </xf>
    <xf numFmtId="3" fontId="5" fillId="3" borderId="1" xfId="4" applyNumberFormat="1" applyFont="1" applyFill="1" applyBorder="1" applyAlignment="1">
      <alignment horizontal="center"/>
    </xf>
    <xf numFmtId="0" fontId="5" fillId="3" borderId="0" xfId="4" applyFont="1" applyFill="1" applyAlignment="1">
      <alignment horizontal="center"/>
    </xf>
    <xf numFmtId="165" fontId="5" fillId="0" borderId="0" xfId="4" applyNumberFormat="1" applyFont="1" applyAlignment="1"/>
    <xf numFmtId="0" fontId="5" fillId="4" borderId="0" xfId="4" applyFont="1" applyFill="1" applyAlignment="1"/>
    <xf numFmtId="0" fontId="5" fillId="5" borderId="0" xfId="4" applyFont="1" applyFill="1" applyAlignment="1"/>
    <xf numFmtId="0" fontId="5" fillId="5" borderId="0" xfId="4" applyNumberFormat="1" applyFont="1" applyFill="1" applyAlignment="1"/>
    <xf numFmtId="43" fontId="5" fillId="5" borderId="0" xfId="5" applyFont="1" applyFill="1" applyAlignment="1"/>
    <xf numFmtId="0" fontId="5" fillId="5" borderId="1" xfId="4" applyFont="1" applyFill="1" applyBorder="1" applyAlignment="1">
      <alignment horizontal="center"/>
    </xf>
    <xf numFmtId="165" fontId="5" fillId="5" borderId="1" xfId="4" applyNumberFormat="1" applyFont="1" applyFill="1" applyBorder="1" applyAlignment="1">
      <alignment horizontal="center"/>
    </xf>
    <xf numFmtId="2" fontId="5" fillId="5" borderId="1" xfId="4" applyNumberFormat="1" applyFont="1" applyFill="1" applyBorder="1" applyAlignment="1">
      <alignment horizontal="center"/>
    </xf>
    <xf numFmtId="3" fontId="5" fillId="5" borderId="1" xfId="4" applyNumberFormat="1" applyFont="1" applyFill="1" applyBorder="1" applyAlignment="1">
      <alignment horizontal="center"/>
    </xf>
    <xf numFmtId="49" fontId="5" fillId="5" borderId="1" xfId="4" applyNumberFormat="1" applyFont="1" applyFill="1" applyBorder="1" applyAlignment="1">
      <alignment horizontal="center"/>
    </xf>
    <xf numFmtId="165" fontId="5" fillId="5" borderId="0" xfId="4" applyNumberFormat="1" applyFont="1" applyFill="1" applyAlignment="1"/>
    <xf numFmtId="0" fontId="5" fillId="3" borderId="1" xfId="4" applyFont="1" applyFill="1" applyBorder="1" applyAlignment="1">
      <alignment horizontal="center" vertical="top"/>
    </xf>
    <xf numFmtId="14" fontId="5" fillId="3" borderId="1" xfId="4" applyNumberFormat="1" applyFont="1" applyFill="1" applyBorder="1" applyAlignment="1">
      <alignment horizontal="center"/>
    </xf>
    <xf numFmtId="2" fontId="5" fillId="4" borderId="1" xfId="4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6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0" borderId="0" xfId="0" quotePrefix="1" applyFont="1" applyAlignment="1">
      <alignment horizontal="left"/>
    </xf>
    <xf numFmtId="0" fontId="5" fillId="3" borderId="1" xfId="0" applyFont="1" applyFill="1" applyBorder="1" applyAlignment="1"/>
    <xf numFmtId="44" fontId="5" fillId="3" borderId="1" xfId="0" applyNumberFormat="1" applyFont="1" applyFill="1" applyBorder="1" applyAlignment="1"/>
    <xf numFmtId="2" fontId="5" fillId="3" borderId="0" xfId="0" applyNumberFormat="1" applyFont="1" applyFill="1" applyAlignment="1"/>
    <xf numFmtId="166" fontId="5" fillId="3" borderId="1" xfId="0" applyNumberFormat="1" applyFont="1" applyFill="1" applyBorder="1" applyAlignment="1"/>
    <xf numFmtId="2" fontId="5" fillId="3" borderId="1" xfId="0" applyNumberFormat="1" applyFont="1" applyFill="1" applyBorder="1" applyAlignment="1"/>
    <xf numFmtId="167" fontId="5" fillId="3" borderId="1" xfId="0" applyNumberFormat="1" applyFont="1" applyFill="1" applyBorder="1" applyAlignment="1"/>
    <xf numFmtId="165" fontId="5" fillId="3" borderId="1" xfId="0" applyNumberFormat="1" applyFont="1" applyFill="1" applyBorder="1" applyAlignment="1"/>
    <xf numFmtId="165" fontId="5" fillId="0" borderId="0" xfId="0" applyNumberFormat="1" applyFont="1" applyAlignment="1"/>
    <xf numFmtId="168" fontId="5" fillId="3" borderId="1" xfId="0" applyNumberFormat="1" applyFont="1" applyFill="1" applyBorder="1" applyAlignment="1"/>
    <xf numFmtId="169" fontId="5" fillId="3" borderId="1" xfId="0" applyNumberFormat="1" applyFont="1" applyFill="1" applyBorder="1" applyAlignment="1"/>
    <xf numFmtId="170" fontId="5" fillId="3" borderId="1" xfId="0" applyNumberFormat="1" applyFont="1" applyFill="1" applyBorder="1" applyAlignment="1"/>
    <xf numFmtId="0" fontId="5" fillId="3" borderId="0" xfId="0" applyFont="1" applyFill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5" fillId="0" borderId="0" xfId="4" applyFont="1" applyAlignment="1">
      <alignment horizontal="center"/>
    </xf>
    <xf numFmtId="0" fontId="5" fillId="5" borderId="0" xfId="4" applyFont="1" applyFill="1" applyAlignment="1">
      <alignment horizontal="center"/>
    </xf>
  </cellXfs>
  <cellStyles count="6">
    <cellStyle name="Гиперссылка" xfId="3" builtinId="8"/>
    <cellStyle name="Обычный" xfId="0" builtinId="0"/>
    <cellStyle name="Обычный 2" xfId="4" xr:uid="{EE9878AC-E676-4D06-96E9-9CFA8A4DE5AD}"/>
    <cellStyle name="Процентный" xfId="2" builtinId="5"/>
    <cellStyle name="Финансовый" xfId="1" builtinId="3"/>
    <cellStyle name="Финансовый 2" xfId="5" xr:uid="{97437AA1-C501-48B0-8361-E05487856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F:\YandexDownload\&#1054;&#1073;&#1086;&#1089;&#1085;&#1086;&#1074;&#1072;&#1085;&#1080;&#1077;%20&#1053;&#1052;&#1062;&#1050;-2025-2026\&#8470;%200319100033325000114%20&#1055;&#1088;&#1080;&#1083;&#1086;&#1078;&#1077;&#1085;&#1080;&#1077;%202.%20&#1054;&#1073;&#1086;&#1089;&#1085;&#1086;&#1074;&#1072;&#1085;&#1080;&#1077;%20&#1053;&#1052;&#1062;&#1050;%20(&#1051;&#1080;&#1079;&#1080;&#1085;&#1075;%20&#1047;&#1077;&#1084;&#1089;&#1085;&#1072;&#1088;&#1103;&#1076;%20).DOCX" TargetMode="External"/><Relationship Id="rId1" Type="http://schemas.openxmlformats.org/officeDocument/2006/relationships/hyperlink" Target="file:///F:\YandexDownload\&#1054;&#1073;&#1086;&#1089;&#1085;&#1086;&#1074;&#1072;&#1085;&#1080;&#1077;%20&#1053;&#1052;&#1062;&#1050;-2025-2026\&#8470;%200122200002526000280%20IV.%20&#1054;&#1041;&#1054;&#1057;&#1053;&#1054;&#1042;&#1040;&#1053;&#1048;&#1045;%20&#1053;&#1052;&#1062;&#1050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0F30-C3F3-4DBC-BB2E-FA8ED1DCE6AB}">
  <sheetPr>
    <tabColor rgb="FF92D050"/>
  </sheetPr>
  <dimension ref="A1:BW124"/>
  <sheetViews>
    <sheetView tabSelected="1" topLeftCell="N43" workbookViewId="0">
      <selection activeCell="V50" sqref="V50"/>
    </sheetView>
  </sheetViews>
  <sheetFormatPr defaultRowHeight="15.75" x14ac:dyDescent="0.25"/>
  <cols>
    <col min="1" max="1" width="13.5703125" style="73" customWidth="1"/>
    <col min="2" max="2" width="24.5703125" style="22" customWidth="1"/>
    <col min="3" max="3" width="9.140625" style="11"/>
    <col min="4" max="8" width="13.85546875" style="11" customWidth="1"/>
    <col min="9" max="9" width="23.7109375" style="13" customWidth="1"/>
    <col min="10" max="10" width="41.85546875" style="31" customWidth="1"/>
    <col min="11" max="11" width="26.42578125" style="31" customWidth="1"/>
    <col min="12" max="12" width="28" style="32" customWidth="1"/>
    <col min="13" max="13" width="23.140625" style="32" customWidth="1"/>
    <col min="14" max="16" width="22.28515625" style="33" customWidth="1"/>
    <col min="17" max="19" width="22.28515625" style="32" customWidth="1"/>
    <col min="20" max="26" width="22.28515625" style="11" customWidth="1"/>
    <col min="27" max="27" width="20.140625" style="11" customWidth="1"/>
    <col min="28" max="16384" width="9.140625" style="11"/>
  </cols>
  <sheetData>
    <row r="1" spans="1:27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194</v>
      </c>
      <c r="T1" s="5" t="s">
        <v>195</v>
      </c>
      <c r="U1" s="5" t="s">
        <v>196</v>
      </c>
      <c r="V1" s="5" t="s">
        <v>18</v>
      </c>
      <c r="W1" s="7" t="s">
        <v>19</v>
      </c>
      <c r="X1" s="8" t="s">
        <v>20</v>
      </c>
      <c r="Y1" s="8" t="s">
        <v>21</v>
      </c>
      <c r="Z1" s="8" t="s">
        <v>22</v>
      </c>
      <c r="AA1" s="8" t="s">
        <v>23</v>
      </c>
    </row>
    <row r="2" spans="1:27" s="1" customFormat="1" x14ac:dyDescent="0.25">
      <c r="A2" s="9" t="s">
        <v>193</v>
      </c>
      <c r="B2" s="2"/>
      <c r="I2" s="3"/>
      <c r="J2" s="4"/>
      <c r="K2" s="5"/>
      <c r="L2" s="5"/>
      <c r="M2" s="5"/>
      <c r="N2" s="6"/>
      <c r="O2" s="6"/>
      <c r="P2" s="6"/>
      <c r="Q2" s="5"/>
      <c r="R2" s="5"/>
      <c r="V2" s="5"/>
      <c r="W2" s="10"/>
      <c r="X2" s="10"/>
      <c r="Y2" s="10"/>
      <c r="Z2" s="10"/>
      <c r="AA2" s="10"/>
    </row>
    <row r="3" spans="1:27" x14ac:dyDescent="0.25">
      <c r="A3" s="73" t="s">
        <v>24</v>
      </c>
      <c r="B3" s="12">
        <v>32615757232</v>
      </c>
      <c r="C3" s="11" t="s">
        <v>25</v>
      </c>
      <c r="D3" s="11" t="s">
        <v>26</v>
      </c>
      <c r="E3" s="11" t="s">
        <v>27</v>
      </c>
      <c r="F3" s="11" t="s">
        <v>27</v>
      </c>
      <c r="H3" s="11" t="s">
        <v>27</v>
      </c>
      <c r="I3" s="13">
        <v>1299996000</v>
      </c>
      <c r="J3" s="14" t="s">
        <v>28</v>
      </c>
      <c r="K3" s="15">
        <v>2</v>
      </c>
      <c r="L3" s="16">
        <v>3</v>
      </c>
      <c r="M3" s="16">
        <v>3</v>
      </c>
      <c r="N3" s="17">
        <v>1299996000</v>
      </c>
      <c r="O3" s="17">
        <v>1925400000</v>
      </c>
      <c r="P3" s="17">
        <v>1960752000</v>
      </c>
      <c r="Q3" s="14" t="s">
        <v>29</v>
      </c>
      <c r="R3" s="14" t="s">
        <v>29</v>
      </c>
      <c r="S3" s="11"/>
      <c r="V3" s="18">
        <v>45937</v>
      </c>
      <c r="W3" s="13">
        <f t="shared" ref="W3:W35" si="0">AVERAGE(N3,O3,P3)</f>
        <v>1728716000</v>
      </c>
      <c r="X3" s="19">
        <f t="shared" ref="X3:X35" si="1">MIN(N3:R3)</f>
        <v>1299996000</v>
      </c>
      <c r="Y3" s="19">
        <f t="shared" ref="Y3:Y35" si="2">MAX(N3:R3)</f>
        <v>1960752000</v>
      </c>
      <c r="Z3" s="13">
        <f t="shared" ref="Z3:Z35" si="3">AVEDEV(N3:R3)</f>
        <v>285813333.33333331</v>
      </c>
      <c r="AA3" s="20">
        <f t="shared" ref="AA3:AA35" si="4">_xlfn.STDEV.S(N3:R3)/W3</f>
        <v>0.21501677092104191</v>
      </c>
    </row>
    <row r="4" spans="1:27" x14ac:dyDescent="0.25">
      <c r="A4" s="73" t="s">
        <v>30</v>
      </c>
      <c r="B4" s="21" t="s">
        <v>31</v>
      </c>
      <c r="C4" s="11" t="s">
        <v>32</v>
      </c>
      <c r="D4" s="11" t="s">
        <v>33</v>
      </c>
      <c r="E4" s="11" t="s">
        <v>27</v>
      </c>
      <c r="F4" s="11" t="s">
        <v>27</v>
      </c>
      <c r="H4" s="11" t="s">
        <v>27</v>
      </c>
      <c r="I4" s="13">
        <v>300000000</v>
      </c>
      <c r="J4" s="14" t="s">
        <v>34</v>
      </c>
      <c r="K4" s="14">
        <v>1</v>
      </c>
      <c r="L4" s="16">
        <v>5</v>
      </c>
      <c r="M4" s="16">
        <v>3</v>
      </c>
      <c r="N4" s="17">
        <v>357000000</v>
      </c>
      <c r="O4" s="17">
        <v>297214285</v>
      </c>
      <c r="P4" s="17">
        <v>267700000</v>
      </c>
      <c r="Q4" s="16" t="s">
        <v>29</v>
      </c>
      <c r="R4" s="16" t="s">
        <v>29</v>
      </c>
      <c r="S4" s="11"/>
      <c r="V4" s="18">
        <v>46062</v>
      </c>
      <c r="W4" s="13">
        <f t="shared" si="0"/>
        <v>307304761.66666669</v>
      </c>
      <c r="X4" s="19">
        <f t="shared" si="1"/>
        <v>267700000</v>
      </c>
      <c r="Y4" s="19">
        <f t="shared" si="2"/>
        <v>357000000</v>
      </c>
      <c r="Z4" s="13">
        <f t="shared" si="3"/>
        <v>33130158.888888896</v>
      </c>
      <c r="AA4" s="20">
        <f t="shared" si="4"/>
        <v>0.1480520387928321</v>
      </c>
    </row>
    <row r="5" spans="1:27" x14ac:dyDescent="0.25">
      <c r="A5" s="73" t="s">
        <v>30</v>
      </c>
      <c r="B5" s="22" t="s">
        <v>35</v>
      </c>
      <c r="C5" s="11" t="s">
        <v>32</v>
      </c>
      <c r="D5" s="11" t="s">
        <v>36</v>
      </c>
      <c r="E5" s="11" t="s">
        <v>27</v>
      </c>
      <c r="F5" s="11" t="s">
        <v>27</v>
      </c>
      <c r="H5" s="11" t="s">
        <v>27</v>
      </c>
      <c r="I5" s="13">
        <v>78000000</v>
      </c>
      <c r="J5" s="14" t="s">
        <v>37</v>
      </c>
      <c r="K5" s="14">
        <v>1</v>
      </c>
      <c r="L5" s="16">
        <v>3</v>
      </c>
      <c r="M5" s="16">
        <v>3</v>
      </c>
      <c r="N5" s="17">
        <v>77914000</v>
      </c>
      <c r="O5" s="17">
        <v>78095000</v>
      </c>
      <c r="P5" s="17">
        <v>77991000.010000005</v>
      </c>
      <c r="Q5" s="16" t="s">
        <v>29</v>
      </c>
      <c r="R5" s="16" t="s">
        <v>29</v>
      </c>
      <c r="S5" s="11"/>
      <c r="V5" s="16" t="s">
        <v>29</v>
      </c>
      <c r="W5" s="13">
        <f t="shared" si="0"/>
        <v>78000000.00333333</v>
      </c>
      <c r="X5" s="19">
        <f t="shared" si="1"/>
        <v>77914000</v>
      </c>
      <c r="Y5" s="19">
        <f t="shared" si="2"/>
        <v>78095000</v>
      </c>
      <c r="Z5" s="13">
        <f t="shared" si="3"/>
        <v>63333.331111108266</v>
      </c>
      <c r="AA5" s="20">
        <f t="shared" si="4"/>
        <v>1.1645514714828489E-3</v>
      </c>
    </row>
    <row r="6" spans="1:27" x14ac:dyDescent="0.25">
      <c r="A6" s="73" t="s">
        <v>30</v>
      </c>
      <c r="B6" s="22" t="s">
        <v>38</v>
      </c>
      <c r="C6" s="11" t="s">
        <v>32</v>
      </c>
      <c r="D6" s="11" t="s">
        <v>36</v>
      </c>
      <c r="E6" s="11" t="s">
        <v>27</v>
      </c>
      <c r="F6" s="11" t="s">
        <v>27</v>
      </c>
      <c r="H6" s="11" t="s">
        <v>27</v>
      </c>
      <c r="I6" s="13">
        <v>78000000</v>
      </c>
      <c r="J6" s="14" t="s">
        <v>37</v>
      </c>
      <c r="K6" s="14">
        <v>1</v>
      </c>
      <c r="L6" s="16">
        <v>3</v>
      </c>
      <c r="M6" s="16">
        <v>3</v>
      </c>
      <c r="N6" s="17">
        <v>77914000</v>
      </c>
      <c r="O6" s="17">
        <v>78095000</v>
      </c>
      <c r="P6" s="17">
        <v>77991000.010000005</v>
      </c>
      <c r="Q6" s="16" t="s">
        <v>29</v>
      </c>
      <c r="R6" s="16" t="s">
        <v>29</v>
      </c>
      <c r="S6" s="11"/>
      <c r="V6" s="16" t="s">
        <v>29</v>
      </c>
      <c r="W6" s="13">
        <f t="shared" si="0"/>
        <v>78000000.00333333</v>
      </c>
      <c r="X6" s="19">
        <f t="shared" si="1"/>
        <v>77914000</v>
      </c>
      <c r="Y6" s="19">
        <f t="shared" si="2"/>
        <v>78095000</v>
      </c>
      <c r="Z6" s="13">
        <f t="shared" si="3"/>
        <v>63333.331111108266</v>
      </c>
      <c r="AA6" s="20">
        <f t="shared" si="4"/>
        <v>1.1645514714828489E-3</v>
      </c>
    </row>
    <row r="7" spans="1:27" x14ac:dyDescent="0.25">
      <c r="A7" s="73" t="s">
        <v>30</v>
      </c>
      <c r="B7" s="22" t="s">
        <v>39</v>
      </c>
      <c r="C7" s="11" t="s">
        <v>32</v>
      </c>
      <c r="D7" s="11" t="s">
        <v>40</v>
      </c>
      <c r="E7" s="11" t="s">
        <v>27</v>
      </c>
      <c r="F7" s="11" t="s">
        <v>27</v>
      </c>
      <c r="H7" s="11" t="s">
        <v>27</v>
      </c>
      <c r="I7" s="13">
        <v>962610331.74000001</v>
      </c>
      <c r="J7" s="14" t="s">
        <v>41</v>
      </c>
      <c r="K7" s="14">
        <v>1</v>
      </c>
      <c r="L7" s="14" t="s">
        <v>34</v>
      </c>
      <c r="M7" s="16">
        <v>3</v>
      </c>
      <c r="N7" s="17">
        <v>962610331.74000001</v>
      </c>
      <c r="O7" s="17">
        <v>1254900000</v>
      </c>
      <c r="P7" s="17">
        <v>1339500000</v>
      </c>
      <c r="Q7" s="16" t="s">
        <v>29</v>
      </c>
      <c r="R7" s="16" t="s">
        <v>29</v>
      </c>
      <c r="S7" s="11"/>
      <c r="V7" s="16" t="s">
        <v>29</v>
      </c>
      <c r="W7" s="13">
        <f t="shared" si="0"/>
        <v>1185670110.5799999</v>
      </c>
      <c r="X7" s="19">
        <f t="shared" si="1"/>
        <v>962610331.74000001</v>
      </c>
      <c r="Y7" s="19">
        <f t="shared" si="2"/>
        <v>1339500000</v>
      </c>
      <c r="Z7" s="13">
        <f t="shared" si="3"/>
        <v>148706519.22666669</v>
      </c>
      <c r="AA7" s="20">
        <f t="shared" si="4"/>
        <v>0.1667854038769831</v>
      </c>
    </row>
    <row r="8" spans="1:27" x14ac:dyDescent="0.25">
      <c r="A8" s="73" t="s">
        <v>30</v>
      </c>
      <c r="B8" s="22" t="s">
        <v>42</v>
      </c>
      <c r="C8" s="11" t="s">
        <v>32</v>
      </c>
      <c r="D8" s="11" t="s">
        <v>43</v>
      </c>
      <c r="E8" s="11" t="s">
        <v>27</v>
      </c>
      <c r="F8" s="11" t="s">
        <v>27</v>
      </c>
      <c r="H8" s="11" t="s">
        <v>27</v>
      </c>
      <c r="I8" s="13">
        <v>1132398047.74</v>
      </c>
      <c r="J8" s="14" t="s">
        <v>44</v>
      </c>
      <c r="K8" s="14">
        <v>1</v>
      </c>
      <c r="L8" s="14" t="s">
        <v>34</v>
      </c>
      <c r="M8" s="16">
        <v>3</v>
      </c>
      <c r="N8" s="17">
        <v>1350897450.1800001</v>
      </c>
      <c r="O8" s="17">
        <v>1326987273.6600001</v>
      </c>
      <c r="P8" s="17">
        <v>1132398047.74</v>
      </c>
      <c r="Q8" s="16" t="s">
        <v>29</v>
      </c>
      <c r="R8" s="16" t="s">
        <v>29</v>
      </c>
      <c r="S8" s="11"/>
      <c r="V8" s="16" t="s">
        <v>29</v>
      </c>
      <c r="W8" s="13">
        <f t="shared" si="0"/>
        <v>1270094257.1933334</v>
      </c>
      <c r="X8" s="19">
        <f t="shared" si="1"/>
        <v>1132398047.74</v>
      </c>
      <c r="Y8" s="19">
        <f t="shared" si="2"/>
        <v>1350897450.1800001</v>
      </c>
      <c r="Z8" s="13">
        <f t="shared" si="3"/>
        <v>91797472.968888924</v>
      </c>
      <c r="AA8" s="20">
        <f t="shared" si="4"/>
        <v>9.4360073696443045E-2</v>
      </c>
    </row>
    <row r="9" spans="1:27" x14ac:dyDescent="0.25">
      <c r="A9" s="73" t="s">
        <v>30</v>
      </c>
      <c r="B9" s="22" t="s">
        <v>45</v>
      </c>
      <c r="C9" s="11" t="s">
        <v>32</v>
      </c>
      <c r="D9" s="11" t="s">
        <v>46</v>
      </c>
      <c r="E9" s="11" t="s">
        <v>27</v>
      </c>
      <c r="F9" s="11" t="s">
        <v>27</v>
      </c>
      <c r="H9" s="11" t="s">
        <v>27</v>
      </c>
      <c r="I9" s="13">
        <v>285714285.70999998</v>
      </c>
      <c r="J9" s="14" t="s">
        <v>34</v>
      </c>
      <c r="K9" s="14">
        <v>1</v>
      </c>
      <c r="L9" s="16">
        <v>6</v>
      </c>
      <c r="M9" s="16">
        <v>3</v>
      </c>
      <c r="N9" s="17">
        <v>340853899.74000001</v>
      </c>
      <c r="O9" s="17">
        <v>349979419.68000001</v>
      </c>
      <c r="P9" s="17">
        <v>343528800</v>
      </c>
      <c r="Q9" s="16" t="s">
        <v>29</v>
      </c>
      <c r="R9" s="16" t="s">
        <v>29</v>
      </c>
      <c r="S9" s="11"/>
      <c r="V9" s="18">
        <v>45995</v>
      </c>
      <c r="W9" s="13">
        <f t="shared" si="0"/>
        <v>344787373.14000005</v>
      </c>
      <c r="X9" s="19">
        <f t="shared" si="1"/>
        <v>340853899.74000001</v>
      </c>
      <c r="Y9" s="19">
        <f t="shared" si="2"/>
        <v>349979419.68000001</v>
      </c>
      <c r="Z9" s="13">
        <f t="shared" si="3"/>
        <v>3461364.3600000143</v>
      </c>
      <c r="AA9" s="20">
        <f t="shared" si="4"/>
        <v>1.3605889230089494E-2</v>
      </c>
    </row>
    <row r="10" spans="1:27" x14ac:dyDescent="0.25">
      <c r="A10" s="73" t="s">
        <v>30</v>
      </c>
      <c r="B10" s="22" t="s">
        <v>47</v>
      </c>
      <c r="C10" s="11" t="s">
        <v>32</v>
      </c>
      <c r="D10" s="11" t="s">
        <v>40</v>
      </c>
      <c r="E10" s="11" t="s">
        <v>27</v>
      </c>
      <c r="F10" s="11" t="s">
        <v>27</v>
      </c>
      <c r="H10" s="11" t="s">
        <v>27</v>
      </c>
      <c r="I10" s="13">
        <v>962610331.74000001</v>
      </c>
      <c r="J10" s="14" t="s">
        <v>41</v>
      </c>
      <c r="K10" s="14">
        <v>1</v>
      </c>
      <c r="L10" s="14" t="s">
        <v>34</v>
      </c>
      <c r="M10" s="16">
        <v>3</v>
      </c>
      <c r="N10" s="17">
        <v>962610331.74000001</v>
      </c>
      <c r="O10" s="17">
        <v>1254900000</v>
      </c>
      <c r="P10" s="17">
        <v>1339500000</v>
      </c>
      <c r="Q10" s="16" t="s">
        <v>29</v>
      </c>
      <c r="R10" s="16" t="s">
        <v>29</v>
      </c>
      <c r="S10" s="11"/>
      <c r="V10" s="16" t="s">
        <v>29</v>
      </c>
      <c r="W10" s="13">
        <f t="shared" si="0"/>
        <v>1185670110.5799999</v>
      </c>
      <c r="X10" s="19">
        <f t="shared" si="1"/>
        <v>962610331.74000001</v>
      </c>
      <c r="Y10" s="19">
        <f t="shared" si="2"/>
        <v>1339500000</v>
      </c>
      <c r="Z10" s="13">
        <f t="shared" si="3"/>
        <v>148706519.22666669</v>
      </c>
      <c r="AA10" s="20">
        <f t="shared" si="4"/>
        <v>0.1667854038769831</v>
      </c>
    </row>
    <row r="11" spans="1:27" x14ac:dyDescent="0.25">
      <c r="A11" s="73" t="s">
        <v>30</v>
      </c>
      <c r="B11" s="22" t="s">
        <v>48</v>
      </c>
      <c r="C11" s="11" t="s">
        <v>32</v>
      </c>
      <c r="D11" s="11" t="s">
        <v>43</v>
      </c>
      <c r="E11" s="11" t="s">
        <v>27</v>
      </c>
      <c r="F11" s="11" t="s">
        <v>27</v>
      </c>
      <c r="H11" s="11" t="s">
        <v>27</v>
      </c>
      <c r="I11" s="13">
        <v>1132398047.74</v>
      </c>
      <c r="J11" s="14" t="s">
        <v>44</v>
      </c>
      <c r="K11" s="14">
        <v>1</v>
      </c>
      <c r="L11" s="14" t="s">
        <v>34</v>
      </c>
      <c r="M11" s="16">
        <v>3</v>
      </c>
      <c r="N11" s="17">
        <v>1350897450.1800001</v>
      </c>
      <c r="O11" s="17">
        <v>1326987273.6600001</v>
      </c>
      <c r="P11" s="17">
        <v>1132398047.74</v>
      </c>
      <c r="Q11" s="16" t="s">
        <v>29</v>
      </c>
      <c r="R11" s="16" t="s">
        <v>29</v>
      </c>
      <c r="S11" s="11"/>
      <c r="V11" s="16" t="s">
        <v>29</v>
      </c>
      <c r="W11" s="13">
        <f t="shared" si="0"/>
        <v>1270094257.1933334</v>
      </c>
      <c r="X11" s="19">
        <f t="shared" si="1"/>
        <v>1132398047.74</v>
      </c>
      <c r="Y11" s="19">
        <f t="shared" si="2"/>
        <v>1350897450.1800001</v>
      </c>
      <c r="Z11" s="13">
        <f t="shared" si="3"/>
        <v>91797472.968888924</v>
      </c>
      <c r="AA11" s="20">
        <f t="shared" si="4"/>
        <v>9.4360073696443045E-2</v>
      </c>
    </row>
    <row r="12" spans="1:27" x14ac:dyDescent="0.25">
      <c r="A12" s="73" t="s">
        <v>24</v>
      </c>
      <c r="B12" s="22" t="s">
        <v>49</v>
      </c>
      <c r="C12" s="11" t="s">
        <v>25</v>
      </c>
      <c r="D12" s="11" t="s">
        <v>50</v>
      </c>
      <c r="E12" s="11" t="s">
        <v>27</v>
      </c>
      <c r="F12" s="11" t="s">
        <v>27</v>
      </c>
      <c r="H12" s="11" t="s">
        <v>27</v>
      </c>
      <c r="I12" s="13">
        <v>665000000</v>
      </c>
      <c r="J12" s="14" t="s">
        <v>34</v>
      </c>
      <c r="K12" s="14">
        <v>1</v>
      </c>
      <c r="L12" s="14" t="s">
        <v>34</v>
      </c>
      <c r="M12" s="16">
        <v>3</v>
      </c>
      <c r="N12" s="17">
        <v>665000000</v>
      </c>
      <c r="O12" s="17">
        <v>690000000</v>
      </c>
      <c r="P12" s="17">
        <v>640000000</v>
      </c>
      <c r="Q12" s="16" t="s">
        <v>29</v>
      </c>
      <c r="R12" s="16" t="s">
        <v>29</v>
      </c>
      <c r="S12" s="11"/>
      <c r="V12" s="16" t="s">
        <v>29</v>
      </c>
      <c r="W12" s="13">
        <f t="shared" si="0"/>
        <v>665000000</v>
      </c>
      <c r="X12" s="19">
        <f t="shared" si="1"/>
        <v>640000000</v>
      </c>
      <c r="Y12" s="19">
        <f t="shared" si="2"/>
        <v>690000000</v>
      </c>
      <c r="Z12" s="13">
        <f t="shared" si="3"/>
        <v>16666666.666666666</v>
      </c>
      <c r="AA12" s="20">
        <f t="shared" si="4"/>
        <v>3.7593984962406013E-2</v>
      </c>
    </row>
    <row r="13" spans="1:27" x14ac:dyDescent="0.25">
      <c r="A13" s="73" t="s">
        <v>30</v>
      </c>
      <c r="B13" s="22" t="s">
        <v>51</v>
      </c>
      <c r="C13" s="11" t="s">
        <v>32</v>
      </c>
      <c r="D13" s="11" t="s">
        <v>52</v>
      </c>
      <c r="E13" s="11" t="s">
        <v>27</v>
      </c>
      <c r="F13" s="11" t="s">
        <v>27</v>
      </c>
      <c r="H13" s="11" t="s">
        <v>27</v>
      </c>
      <c r="I13" s="13">
        <v>946662043.74000001</v>
      </c>
      <c r="J13" s="14" t="s">
        <v>34</v>
      </c>
      <c r="K13" s="14" t="s">
        <v>34</v>
      </c>
      <c r="L13" s="14" t="s">
        <v>34</v>
      </c>
      <c r="M13" s="16">
        <v>3</v>
      </c>
      <c r="N13" s="17">
        <v>1250499741</v>
      </c>
      <c r="O13" s="17" t="s">
        <v>53</v>
      </c>
      <c r="P13" s="17" t="s">
        <v>54</v>
      </c>
      <c r="Q13" s="16" t="s">
        <v>29</v>
      </c>
      <c r="R13" s="16" t="s">
        <v>29</v>
      </c>
      <c r="S13" s="11"/>
      <c r="V13" s="16" t="s">
        <v>29</v>
      </c>
      <c r="W13" s="13">
        <f t="shared" si="0"/>
        <v>1250499741</v>
      </c>
      <c r="X13" s="19">
        <f t="shared" si="1"/>
        <v>1250499741</v>
      </c>
      <c r="Y13" s="19">
        <f t="shared" si="2"/>
        <v>1250499741</v>
      </c>
      <c r="Z13" s="13">
        <f t="shared" si="3"/>
        <v>0</v>
      </c>
      <c r="AA13" s="20" t="e">
        <f t="shared" si="4"/>
        <v>#DIV/0!</v>
      </c>
    </row>
    <row r="14" spans="1:27" x14ac:dyDescent="0.25">
      <c r="A14" s="73" t="s">
        <v>30</v>
      </c>
      <c r="B14" s="22" t="s">
        <v>55</v>
      </c>
      <c r="C14" s="11" t="s">
        <v>32</v>
      </c>
      <c r="D14" s="11" t="s">
        <v>56</v>
      </c>
      <c r="E14" s="11" t="s">
        <v>27</v>
      </c>
      <c r="F14" s="11" t="s">
        <v>27</v>
      </c>
      <c r="H14" s="11" t="s">
        <v>27</v>
      </c>
      <c r="I14" s="13">
        <v>1057484860.51</v>
      </c>
      <c r="J14" s="14" t="s">
        <v>57</v>
      </c>
      <c r="K14" s="14">
        <v>1</v>
      </c>
      <c r="L14" s="14" t="s">
        <v>34</v>
      </c>
      <c r="M14" s="16">
        <v>3</v>
      </c>
      <c r="N14" s="17">
        <v>1057484860.51</v>
      </c>
      <c r="O14" s="17">
        <v>1528200000</v>
      </c>
      <c r="P14" s="17">
        <v>1390776906</v>
      </c>
      <c r="Q14" s="16" t="s">
        <v>29</v>
      </c>
      <c r="R14" s="16" t="s">
        <v>29</v>
      </c>
      <c r="S14" s="11"/>
      <c r="V14" s="18">
        <v>45888</v>
      </c>
      <c r="W14" s="13">
        <f t="shared" si="0"/>
        <v>1325487255.5033333</v>
      </c>
      <c r="X14" s="19">
        <f t="shared" si="1"/>
        <v>1057484860.51</v>
      </c>
      <c r="Y14" s="19">
        <f t="shared" si="2"/>
        <v>1528200000</v>
      </c>
      <c r="Z14" s="13">
        <f t="shared" si="3"/>
        <v>178668263.32888889</v>
      </c>
      <c r="AA14" s="20">
        <f t="shared" si="4"/>
        <v>0.18261526599453567</v>
      </c>
    </row>
    <row r="15" spans="1:27" x14ac:dyDescent="0.25">
      <c r="A15" s="73" t="s">
        <v>30</v>
      </c>
      <c r="B15" s="22" t="s">
        <v>58</v>
      </c>
      <c r="C15" s="11" t="s">
        <v>32</v>
      </c>
      <c r="D15" s="11" t="s">
        <v>59</v>
      </c>
      <c r="E15" s="11" t="s">
        <v>27</v>
      </c>
      <c r="F15" s="11" t="s">
        <v>27</v>
      </c>
      <c r="H15" s="11" t="s">
        <v>27</v>
      </c>
      <c r="I15" s="13">
        <v>107666666.67</v>
      </c>
      <c r="J15" s="14" t="s">
        <v>34</v>
      </c>
      <c r="K15" s="14">
        <v>1</v>
      </c>
      <c r="L15" s="14" t="s">
        <v>34</v>
      </c>
      <c r="M15" s="16">
        <v>3</v>
      </c>
      <c r="N15" s="17">
        <v>108000000</v>
      </c>
      <c r="O15" s="17">
        <v>105000000</v>
      </c>
      <c r="P15" s="17">
        <v>110000000</v>
      </c>
      <c r="Q15" s="16" t="s">
        <v>29</v>
      </c>
      <c r="R15" s="16" t="s">
        <v>29</v>
      </c>
      <c r="S15" s="11"/>
      <c r="V15" s="18">
        <v>45894</v>
      </c>
      <c r="W15" s="13">
        <f t="shared" si="0"/>
        <v>107666666.66666667</v>
      </c>
      <c r="X15" s="19">
        <f t="shared" si="1"/>
        <v>105000000</v>
      </c>
      <c r="Y15" s="19">
        <f t="shared" si="2"/>
        <v>110000000</v>
      </c>
      <c r="Z15" s="13">
        <f t="shared" si="3"/>
        <v>1777777.7777777761</v>
      </c>
      <c r="AA15" s="20">
        <f t="shared" si="4"/>
        <v>2.3374100418794889E-2</v>
      </c>
    </row>
    <row r="16" spans="1:27" x14ac:dyDescent="0.25">
      <c r="A16" s="73" t="s">
        <v>30</v>
      </c>
      <c r="B16" s="22" t="s">
        <v>60</v>
      </c>
      <c r="C16" s="11" t="s">
        <v>32</v>
      </c>
      <c r="D16" s="11" t="s">
        <v>61</v>
      </c>
      <c r="E16" s="11" t="s">
        <v>27</v>
      </c>
      <c r="F16" s="11" t="s">
        <v>27</v>
      </c>
      <c r="H16" s="11" t="s">
        <v>27</v>
      </c>
      <c r="I16" s="13">
        <v>1020969985.73</v>
      </c>
      <c r="J16" s="14" t="s">
        <v>34</v>
      </c>
      <c r="K16" s="14">
        <v>1</v>
      </c>
      <c r="L16" s="14" t="s">
        <v>34</v>
      </c>
      <c r="M16" s="16">
        <v>2</v>
      </c>
      <c r="N16" s="17">
        <v>1020969985.73</v>
      </c>
      <c r="O16" s="17">
        <v>1020969985.73</v>
      </c>
      <c r="P16" s="17" t="s">
        <v>29</v>
      </c>
      <c r="Q16" s="16" t="s">
        <v>29</v>
      </c>
      <c r="R16" s="16" t="s">
        <v>29</v>
      </c>
      <c r="S16" s="11"/>
      <c r="V16" s="18">
        <v>45897</v>
      </c>
      <c r="W16" s="13">
        <f t="shared" si="0"/>
        <v>1020969985.73</v>
      </c>
      <c r="X16" s="19">
        <f t="shared" si="1"/>
        <v>1020969985.73</v>
      </c>
      <c r="Y16" s="19">
        <f t="shared" si="2"/>
        <v>1020969985.73</v>
      </c>
      <c r="Z16" s="13">
        <f t="shared" si="3"/>
        <v>0</v>
      </c>
      <c r="AA16" s="20">
        <f t="shared" si="4"/>
        <v>0</v>
      </c>
    </row>
    <row r="17" spans="1:27" x14ac:dyDescent="0.25">
      <c r="A17" s="73" t="s">
        <v>30</v>
      </c>
      <c r="B17" s="22" t="s">
        <v>62</v>
      </c>
      <c r="C17" s="11" t="s">
        <v>32</v>
      </c>
      <c r="D17" s="11" t="s">
        <v>63</v>
      </c>
      <c r="E17" s="11" t="s">
        <v>27</v>
      </c>
      <c r="F17" s="11" t="s">
        <v>27</v>
      </c>
      <c r="H17" s="11" t="s">
        <v>27</v>
      </c>
      <c r="I17" s="13">
        <v>1098165086.5</v>
      </c>
      <c r="J17" s="14" t="s">
        <v>34</v>
      </c>
      <c r="K17" s="14">
        <v>1</v>
      </c>
      <c r="L17" s="16">
        <v>11</v>
      </c>
      <c r="M17" s="16">
        <v>3</v>
      </c>
      <c r="N17" s="17">
        <v>1098165086.5</v>
      </c>
      <c r="O17" s="17">
        <v>1350014710</v>
      </c>
      <c r="P17" s="17">
        <v>1528200000</v>
      </c>
      <c r="Q17" s="16" t="s">
        <v>29</v>
      </c>
      <c r="R17" s="16" t="s">
        <v>29</v>
      </c>
      <c r="S17" s="11"/>
      <c r="V17" s="18">
        <v>45881</v>
      </c>
      <c r="W17" s="13">
        <f t="shared" si="0"/>
        <v>1325459932.1666667</v>
      </c>
      <c r="X17" s="19">
        <f t="shared" si="1"/>
        <v>1098165086.5</v>
      </c>
      <c r="Y17" s="19">
        <f t="shared" si="2"/>
        <v>1528200000</v>
      </c>
      <c r="Z17" s="13">
        <f t="shared" si="3"/>
        <v>151529897.11111107</v>
      </c>
      <c r="AA17" s="20">
        <f t="shared" si="4"/>
        <v>0.16301243199561621</v>
      </c>
    </row>
    <row r="18" spans="1:27" x14ac:dyDescent="0.25">
      <c r="A18" s="73" t="s">
        <v>30</v>
      </c>
      <c r="B18" s="23" t="s">
        <v>64</v>
      </c>
      <c r="C18" s="11" t="s">
        <v>32</v>
      </c>
      <c r="D18" s="11" t="s">
        <v>56</v>
      </c>
      <c r="E18" s="11" t="s">
        <v>27</v>
      </c>
      <c r="F18" s="11" t="s">
        <v>27</v>
      </c>
      <c r="H18" s="11" t="s">
        <v>27</v>
      </c>
      <c r="I18" s="13">
        <v>1058361484.5</v>
      </c>
      <c r="J18" s="14" t="s">
        <v>34</v>
      </c>
      <c r="K18" s="14">
        <v>1</v>
      </c>
      <c r="L18" s="14" t="s">
        <v>34</v>
      </c>
      <c r="M18" s="16">
        <v>3</v>
      </c>
      <c r="N18" s="17">
        <v>1058360284.5</v>
      </c>
      <c r="O18" s="17">
        <v>1350897450</v>
      </c>
      <c r="P18" s="17">
        <v>1296297600</v>
      </c>
      <c r="Q18" s="16" t="s">
        <v>29</v>
      </c>
      <c r="R18" s="16" t="s">
        <v>29</v>
      </c>
      <c r="S18" s="11"/>
      <c r="V18" s="18">
        <v>45882</v>
      </c>
      <c r="W18" s="13">
        <f t="shared" si="0"/>
        <v>1235185111.5</v>
      </c>
      <c r="X18" s="19">
        <f t="shared" si="1"/>
        <v>1058360284.5</v>
      </c>
      <c r="Y18" s="19">
        <f t="shared" si="2"/>
        <v>1350897450</v>
      </c>
      <c r="Z18" s="13">
        <f t="shared" si="3"/>
        <v>117883218</v>
      </c>
      <c r="AA18" s="20">
        <f t="shared" si="4"/>
        <v>0.12593188541634573</v>
      </c>
    </row>
    <row r="19" spans="1:27" x14ac:dyDescent="0.25">
      <c r="A19" s="73" t="s">
        <v>30</v>
      </c>
      <c r="B19" s="21" t="s">
        <v>65</v>
      </c>
      <c r="C19" s="11" t="s">
        <v>32</v>
      </c>
      <c r="D19" s="11" t="s">
        <v>66</v>
      </c>
      <c r="E19" s="11" t="s">
        <v>27</v>
      </c>
      <c r="F19" s="11" t="s">
        <v>27</v>
      </c>
      <c r="H19" s="11" t="s">
        <v>27</v>
      </c>
      <c r="I19" s="13">
        <v>1131684086.5</v>
      </c>
      <c r="J19" s="14" t="s">
        <v>67</v>
      </c>
      <c r="K19" s="14">
        <v>1</v>
      </c>
      <c r="L19" s="14" t="s">
        <v>34</v>
      </c>
      <c r="M19" s="16">
        <v>3</v>
      </c>
      <c r="N19" s="17">
        <v>1131684086.5</v>
      </c>
      <c r="O19" s="17">
        <v>1785670000</v>
      </c>
      <c r="P19" s="17">
        <v>1450896500</v>
      </c>
      <c r="Q19" s="16" t="s">
        <v>29</v>
      </c>
      <c r="R19" s="16" t="s">
        <v>29</v>
      </c>
      <c r="S19" s="11"/>
      <c r="V19" s="16" t="s">
        <v>29</v>
      </c>
      <c r="W19" s="13">
        <f t="shared" si="0"/>
        <v>1456083528.8333333</v>
      </c>
      <c r="X19" s="19">
        <f t="shared" si="1"/>
        <v>1131684086.5</v>
      </c>
      <c r="Y19" s="19">
        <f t="shared" si="2"/>
        <v>1785670000</v>
      </c>
      <c r="Z19" s="13">
        <f t="shared" si="3"/>
        <v>219724314.11111107</v>
      </c>
      <c r="AA19" s="20">
        <f t="shared" si="4"/>
        <v>0.22459138102211576</v>
      </c>
    </row>
    <row r="20" spans="1:27" x14ac:dyDescent="0.25">
      <c r="A20" s="73" t="s">
        <v>30</v>
      </c>
      <c r="B20" s="22" t="s">
        <v>68</v>
      </c>
      <c r="C20" s="11" t="s">
        <v>32</v>
      </c>
      <c r="D20" s="11" t="s">
        <v>69</v>
      </c>
      <c r="E20" s="11" t="s">
        <v>27</v>
      </c>
      <c r="F20" s="11" t="s">
        <v>27</v>
      </c>
      <c r="H20" s="11" t="s">
        <v>27</v>
      </c>
      <c r="I20" s="13">
        <v>107666666.67</v>
      </c>
      <c r="J20" s="14" t="s">
        <v>34</v>
      </c>
      <c r="K20" s="14">
        <v>1</v>
      </c>
      <c r="L20" s="14" t="s">
        <v>34</v>
      </c>
      <c r="M20" s="16">
        <v>3</v>
      </c>
      <c r="N20" s="17">
        <v>108000000</v>
      </c>
      <c r="O20" s="17">
        <v>105000000</v>
      </c>
      <c r="P20" s="17">
        <v>110000000</v>
      </c>
      <c r="Q20" s="16" t="s">
        <v>29</v>
      </c>
      <c r="R20" s="16" t="s">
        <v>29</v>
      </c>
      <c r="S20" s="11"/>
      <c r="V20" s="18">
        <v>45862</v>
      </c>
      <c r="W20" s="13">
        <f t="shared" si="0"/>
        <v>107666666.66666667</v>
      </c>
      <c r="X20" s="19">
        <f t="shared" si="1"/>
        <v>105000000</v>
      </c>
      <c r="Y20" s="19">
        <f t="shared" si="2"/>
        <v>110000000</v>
      </c>
      <c r="Z20" s="13">
        <f t="shared" si="3"/>
        <v>1777777.7777777761</v>
      </c>
      <c r="AA20" s="20">
        <f t="shared" si="4"/>
        <v>2.3374100418794889E-2</v>
      </c>
    </row>
    <row r="21" spans="1:27" x14ac:dyDescent="0.25">
      <c r="A21" s="73" t="s">
        <v>24</v>
      </c>
      <c r="B21" s="22" t="s">
        <v>70</v>
      </c>
      <c r="C21" s="11" t="s">
        <v>25</v>
      </c>
      <c r="D21" s="11" t="s">
        <v>71</v>
      </c>
      <c r="E21" s="11" t="s">
        <v>27</v>
      </c>
      <c r="F21" s="11" t="s">
        <v>27</v>
      </c>
      <c r="H21" s="11" t="s">
        <v>27</v>
      </c>
      <c r="I21" s="13">
        <v>868257000</v>
      </c>
      <c r="J21" s="14" t="s">
        <v>34</v>
      </c>
      <c r="K21" s="14">
        <v>2</v>
      </c>
      <c r="L21" s="14" t="s">
        <v>34</v>
      </c>
      <c r="M21" s="16">
        <v>2</v>
      </c>
      <c r="N21" s="17">
        <v>1020000000</v>
      </c>
      <c r="O21" s="17">
        <v>868257000</v>
      </c>
      <c r="P21" s="17" t="s">
        <v>29</v>
      </c>
      <c r="Q21" s="16" t="s">
        <v>29</v>
      </c>
      <c r="R21" s="16" t="s">
        <v>29</v>
      </c>
      <c r="S21" s="11"/>
      <c r="V21" s="18">
        <v>45945</v>
      </c>
      <c r="W21" s="13">
        <f t="shared" si="0"/>
        <v>944128500</v>
      </c>
      <c r="X21" s="19">
        <f t="shared" si="1"/>
        <v>868257000</v>
      </c>
      <c r="Y21" s="19">
        <f t="shared" si="2"/>
        <v>1020000000</v>
      </c>
      <c r="Z21" s="13">
        <f t="shared" si="3"/>
        <v>75871500</v>
      </c>
      <c r="AA21" s="20">
        <f t="shared" si="4"/>
        <v>0.11364819968636715</v>
      </c>
    </row>
    <row r="22" spans="1:27" x14ac:dyDescent="0.25">
      <c r="A22" s="73" t="s">
        <v>24</v>
      </c>
      <c r="B22" s="22" t="s">
        <v>72</v>
      </c>
      <c r="C22" s="11" t="s">
        <v>25</v>
      </c>
      <c r="D22" s="11" t="s">
        <v>73</v>
      </c>
      <c r="E22" s="11" t="s">
        <v>27</v>
      </c>
      <c r="F22" s="11" t="s">
        <v>27</v>
      </c>
      <c r="H22" s="11" t="s">
        <v>27</v>
      </c>
      <c r="I22" s="13">
        <v>135000000</v>
      </c>
      <c r="J22" s="14" t="s">
        <v>34</v>
      </c>
      <c r="K22" s="14">
        <v>1</v>
      </c>
      <c r="L22" s="14" t="s">
        <v>34</v>
      </c>
      <c r="M22" s="16">
        <v>2</v>
      </c>
      <c r="N22" s="17">
        <v>135000000</v>
      </c>
      <c r="O22" s="17">
        <v>480000000</v>
      </c>
      <c r="P22" s="17" t="s">
        <v>29</v>
      </c>
      <c r="Q22" s="16" t="s">
        <v>29</v>
      </c>
      <c r="R22" s="16" t="s">
        <v>29</v>
      </c>
      <c r="S22" s="11"/>
      <c r="V22" s="18">
        <v>45838</v>
      </c>
      <c r="W22" s="13">
        <f t="shared" si="0"/>
        <v>307500000</v>
      </c>
      <c r="X22" s="19">
        <f t="shared" si="1"/>
        <v>135000000</v>
      </c>
      <c r="Y22" s="19">
        <f t="shared" si="2"/>
        <v>480000000</v>
      </c>
      <c r="Z22" s="13">
        <f t="shared" si="3"/>
        <v>172500000</v>
      </c>
      <c r="AA22" s="20">
        <f t="shared" si="4"/>
        <v>0.79333931547758985</v>
      </c>
    </row>
    <row r="23" spans="1:27" x14ac:dyDescent="0.25">
      <c r="A23" s="73" t="s">
        <v>24</v>
      </c>
      <c r="B23" s="22" t="s">
        <v>74</v>
      </c>
      <c r="C23" s="11" t="s">
        <v>25</v>
      </c>
      <c r="D23" s="11" t="s">
        <v>75</v>
      </c>
      <c r="E23" s="11" t="s">
        <v>27</v>
      </c>
      <c r="F23" s="11" t="s">
        <v>27</v>
      </c>
      <c r="H23" s="11" t="s">
        <v>27</v>
      </c>
      <c r="I23" s="13">
        <v>483750000</v>
      </c>
      <c r="J23" s="14" t="s">
        <v>34</v>
      </c>
      <c r="K23" s="14">
        <v>3</v>
      </c>
      <c r="L23" s="24">
        <v>9</v>
      </c>
      <c r="M23" s="16">
        <v>1</v>
      </c>
      <c r="N23" s="17">
        <v>483750000</v>
      </c>
      <c r="O23" s="17" t="s">
        <v>29</v>
      </c>
      <c r="P23" s="17" t="s">
        <v>29</v>
      </c>
      <c r="Q23" s="16" t="s">
        <v>29</v>
      </c>
      <c r="R23" s="16" t="s">
        <v>29</v>
      </c>
      <c r="S23" s="11"/>
      <c r="V23" s="18">
        <v>45813</v>
      </c>
      <c r="W23" s="13">
        <f t="shared" si="0"/>
        <v>483750000</v>
      </c>
      <c r="X23" s="19">
        <f t="shared" si="1"/>
        <v>483750000</v>
      </c>
      <c r="Y23" s="19">
        <f t="shared" si="2"/>
        <v>483750000</v>
      </c>
      <c r="Z23" s="13">
        <f t="shared" si="3"/>
        <v>0</v>
      </c>
      <c r="AA23" s="20" t="e">
        <f t="shared" si="4"/>
        <v>#DIV/0!</v>
      </c>
    </row>
    <row r="24" spans="1:27" x14ac:dyDescent="0.25">
      <c r="A24" s="73" t="s">
        <v>24</v>
      </c>
      <c r="B24" s="22" t="s">
        <v>76</v>
      </c>
      <c r="C24" s="11" t="s">
        <v>25</v>
      </c>
      <c r="D24" s="11" t="s">
        <v>77</v>
      </c>
      <c r="E24" s="11" t="s">
        <v>27</v>
      </c>
      <c r="F24" s="11" t="s">
        <v>27</v>
      </c>
      <c r="H24" s="11" t="s">
        <v>27</v>
      </c>
      <c r="I24" s="13">
        <v>900000000</v>
      </c>
      <c r="J24" s="14" t="s">
        <v>34</v>
      </c>
      <c r="K24" s="14">
        <v>2</v>
      </c>
      <c r="L24" s="14" t="s">
        <v>34</v>
      </c>
      <c r="M24" s="16">
        <v>3</v>
      </c>
      <c r="N24" s="17">
        <v>900000000</v>
      </c>
      <c r="O24" s="17">
        <v>2392891200</v>
      </c>
      <c r="P24" s="17">
        <v>1099500000</v>
      </c>
      <c r="Q24" s="16" t="s">
        <v>29</v>
      </c>
      <c r="R24" s="16" t="s">
        <v>29</v>
      </c>
      <c r="S24" s="11"/>
      <c r="V24" s="18">
        <v>45818</v>
      </c>
      <c r="W24" s="13">
        <f t="shared" si="0"/>
        <v>1464130400</v>
      </c>
      <c r="X24" s="19">
        <f t="shared" si="1"/>
        <v>900000000</v>
      </c>
      <c r="Y24" s="19">
        <f t="shared" si="2"/>
        <v>2392891200</v>
      </c>
      <c r="Z24" s="13">
        <f t="shared" si="3"/>
        <v>619173866.66666663</v>
      </c>
      <c r="AA24" s="20">
        <f t="shared" si="4"/>
        <v>0.55356555200621105</v>
      </c>
    </row>
    <row r="25" spans="1:27" x14ac:dyDescent="0.25">
      <c r="A25" s="73" t="s">
        <v>24</v>
      </c>
      <c r="B25" s="22" t="s">
        <v>78</v>
      </c>
      <c r="C25" s="11" t="s">
        <v>25</v>
      </c>
      <c r="D25" s="11" t="s">
        <v>79</v>
      </c>
      <c r="E25" s="11" t="s">
        <v>27</v>
      </c>
      <c r="F25" s="11" t="s">
        <v>27</v>
      </c>
      <c r="H25" s="11" t="s">
        <v>27</v>
      </c>
      <c r="I25" s="13">
        <v>247000000</v>
      </c>
      <c r="J25" s="14" t="s">
        <v>34</v>
      </c>
      <c r="K25" s="14">
        <v>1</v>
      </c>
      <c r="L25" s="16">
        <v>10</v>
      </c>
      <c r="M25" s="16">
        <v>2</v>
      </c>
      <c r="N25" s="17">
        <v>247000000</v>
      </c>
      <c r="O25" s="17">
        <v>259350000</v>
      </c>
      <c r="P25" s="17" t="s">
        <v>29</v>
      </c>
      <c r="Q25" s="16" t="s">
        <v>29</v>
      </c>
      <c r="R25" s="16" t="s">
        <v>29</v>
      </c>
      <c r="S25" s="11"/>
      <c r="V25" s="18">
        <v>45748</v>
      </c>
      <c r="W25" s="13">
        <f t="shared" si="0"/>
        <v>253175000</v>
      </c>
      <c r="X25" s="19">
        <f t="shared" si="1"/>
        <v>247000000</v>
      </c>
      <c r="Y25" s="19">
        <f t="shared" si="2"/>
        <v>259350000</v>
      </c>
      <c r="Z25" s="13">
        <f t="shared" si="3"/>
        <v>6175000</v>
      </c>
      <c r="AA25" s="20">
        <f t="shared" si="4"/>
        <v>3.4493013716416956E-2</v>
      </c>
    </row>
    <row r="26" spans="1:27" x14ac:dyDescent="0.25">
      <c r="A26" s="73" t="s">
        <v>24</v>
      </c>
      <c r="B26" s="22" t="s">
        <v>80</v>
      </c>
      <c r="C26" s="11" t="s">
        <v>25</v>
      </c>
      <c r="D26" s="11" t="s">
        <v>81</v>
      </c>
      <c r="E26" s="11" t="s">
        <v>27</v>
      </c>
      <c r="F26" s="11" t="s">
        <v>27</v>
      </c>
      <c r="H26" s="11" t="s">
        <v>27</v>
      </c>
      <c r="I26" s="13">
        <v>62800000</v>
      </c>
      <c r="J26" s="14" t="s">
        <v>34</v>
      </c>
      <c r="K26" s="14" t="s">
        <v>34</v>
      </c>
      <c r="L26" s="16">
        <v>10</v>
      </c>
      <c r="M26" s="16">
        <v>2</v>
      </c>
      <c r="N26" s="17">
        <v>62800000</v>
      </c>
      <c r="O26" s="17">
        <v>49700000</v>
      </c>
      <c r="P26" s="17" t="s">
        <v>29</v>
      </c>
      <c r="Q26" s="16" t="s">
        <v>29</v>
      </c>
      <c r="R26" s="16" t="s">
        <v>29</v>
      </c>
      <c r="S26" s="11"/>
      <c r="V26" s="18">
        <v>45796</v>
      </c>
      <c r="W26" s="13">
        <f t="shared" si="0"/>
        <v>56250000</v>
      </c>
      <c r="X26" s="19">
        <f t="shared" si="1"/>
        <v>49700000</v>
      </c>
      <c r="Y26" s="19">
        <f t="shared" si="2"/>
        <v>62800000</v>
      </c>
      <c r="Z26" s="13">
        <f t="shared" si="3"/>
        <v>6550000</v>
      </c>
      <c r="AA26" s="20">
        <f t="shared" si="4"/>
        <v>0.16467731259633372</v>
      </c>
    </row>
    <row r="27" spans="1:27" x14ac:dyDescent="0.25">
      <c r="A27" s="73" t="s">
        <v>24</v>
      </c>
      <c r="B27" s="22" t="s">
        <v>82</v>
      </c>
      <c r="C27" s="11" t="s">
        <v>25</v>
      </c>
      <c r="D27" s="11" t="s">
        <v>83</v>
      </c>
      <c r="E27" s="11" t="s">
        <v>27</v>
      </c>
      <c r="F27" s="11" t="s">
        <v>27</v>
      </c>
      <c r="H27" s="11" t="s">
        <v>27</v>
      </c>
      <c r="I27" s="13">
        <v>59850000</v>
      </c>
      <c r="J27" s="14" t="s">
        <v>34</v>
      </c>
      <c r="K27" s="14">
        <v>1</v>
      </c>
      <c r="L27" s="16">
        <v>5</v>
      </c>
      <c r="M27" s="16">
        <v>1</v>
      </c>
      <c r="N27" s="17">
        <v>59850000</v>
      </c>
      <c r="O27" s="17" t="s">
        <v>29</v>
      </c>
      <c r="P27" s="17" t="s">
        <v>29</v>
      </c>
      <c r="Q27" s="16" t="s">
        <v>29</v>
      </c>
      <c r="R27" s="16" t="s">
        <v>29</v>
      </c>
      <c r="S27" s="11"/>
      <c r="V27" s="18">
        <v>45762</v>
      </c>
      <c r="W27" s="13">
        <f t="shared" si="0"/>
        <v>59850000</v>
      </c>
      <c r="X27" s="19">
        <f t="shared" si="1"/>
        <v>59850000</v>
      </c>
      <c r="Y27" s="19">
        <f t="shared" si="2"/>
        <v>59850000</v>
      </c>
      <c r="Z27" s="13">
        <f t="shared" si="3"/>
        <v>0</v>
      </c>
      <c r="AA27" s="20" t="e">
        <f t="shared" si="4"/>
        <v>#DIV/0!</v>
      </c>
    </row>
    <row r="28" spans="1:27" x14ac:dyDescent="0.25">
      <c r="A28" s="73" t="s">
        <v>24</v>
      </c>
      <c r="B28" s="22" t="s">
        <v>84</v>
      </c>
      <c r="C28" s="11" t="s">
        <v>25</v>
      </c>
      <c r="D28" s="11" t="s">
        <v>85</v>
      </c>
      <c r="E28" s="11" t="s">
        <v>27</v>
      </c>
      <c r="F28" s="11" t="s">
        <v>27</v>
      </c>
      <c r="H28" s="11" t="s">
        <v>27</v>
      </c>
      <c r="I28" s="13">
        <v>59850000</v>
      </c>
      <c r="J28" s="14" t="s">
        <v>34</v>
      </c>
      <c r="K28" s="14">
        <v>1</v>
      </c>
      <c r="L28" s="16">
        <v>5</v>
      </c>
      <c r="M28" s="16">
        <v>1</v>
      </c>
      <c r="N28" s="17">
        <v>59850000</v>
      </c>
      <c r="O28" s="17" t="s">
        <v>29</v>
      </c>
      <c r="P28" s="17" t="s">
        <v>29</v>
      </c>
      <c r="Q28" s="16" t="s">
        <v>29</v>
      </c>
      <c r="R28" s="16" t="s">
        <v>29</v>
      </c>
      <c r="S28" s="11"/>
      <c r="V28" s="16" t="s">
        <v>29</v>
      </c>
      <c r="W28" s="13">
        <f t="shared" si="0"/>
        <v>59850000</v>
      </c>
      <c r="X28" s="19">
        <f t="shared" si="1"/>
        <v>59850000</v>
      </c>
      <c r="Y28" s="19">
        <f t="shared" si="2"/>
        <v>59850000</v>
      </c>
      <c r="Z28" s="13">
        <f t="shared" si="3"/>
        <v>0</v>
      </c>
      <c r="AA28" s="20" t="e">
        <f t="shared" si="4"/>
        <v>#DIV/0!</v>
      </c>
    </row>
    <row r="29" spans="1:27" x14ac:dyDescent="0.25">
      <c r="A29" s="73" t="s">
        <v>30</v>
      </c>
      <c r="B29" s="22" t="s">
        <v>86</v>
      </c>
      <c r="C29" s="11" t="s">
        <v>32</v>
      </c>
      <c r="D29" s="11" t="s">
        <v>87</v>
      </c>
      <c r="E29" s="11" t="s">
        <v>27</v>
      </c>
      <c r="F29" s="11" t="s">
        <v>27</v>
      </c>
      <c r="H29" s="11" t="s">
        <v>27</v>
      </c>
      <c r="I29" s="13">
        <v>99377000</v>
      </c>
      <c r="J29" s="14" t="s">
        <v>34</v>
      </c>
      <c r="K29" s="14">
        <v>2</v>
      </c>
      <c r="L29" s="14" t="s">
        <v>34</v>
      </c>
      <c r="M29" s="16">
        <v>3</v>
      </c>
      <c r="N29" s="17">
        <v>99377000</v>
      </c>
      <c r="O29" s="17">
        <v>100867000</v>
      </c>
      <c r="P29" s="17">
        <v>103352000</v>
      </c>
      <c r="Q29" s="16" t="s">
        <v>29</v>
      </c>
      <c r="R29" s="16" t="s">
        <v>29</v>
      </c>
      <c r="S29" s="11"/>
      <c r="V29" s="16" t="s">
        <v>29</v>
      </c>
      <c r="W29" s="13">
        <f t="shared" si="0"/>
        <v>101198666.66666667</v>
      </c>
      <c r="X29" s="19">
        <f t="shared" si="1"/>
        <v>99377000</v>
      </c>
      <c r="Y29" s="19">
        <f t="shared" si="2"/>
        <v>103352000</v>
      </c>
      <c r="Z29" s="13">
        <f t="shared" si="3"/>
        <v>1435555.5555555571</v>
      </c>
      <c r="AA29" s="20">
        <f t="shared" si="4"/>
        <v>1.9843620988893629E-2</v>
      </c>
    </row>
    <row r="30" spans="1:27" x14ac:dyDescent="0.25">
      <c r="A30" s="73" t="s">
        <v>30</v>
      </c>
      <c r="B30" s="22" t="s">
        <v>88</v>
      </c>
      <c r="C30" s="11" t="s">
        <v>32</v>
      </c>
      <c r="D30" s="11" t="s">
        <v>89</v>
      </c>
      <c r="E30" s="11" t="s">
        <v>27</v>
      </c>
      <c r="F30" s="11" t="s">
        <v>27</v>
      </c>
      <c r="H30" s="11" t="s">
        <v>27</v>
      </c>
      <c r="I30" s="13">
        <v>421000000</v>
      </c>
      <c r="J30" s="14" t="s">
        <v>34</v>
      </c>
      <c r="K30" s="14">
        <v>2</v>
      </c>
      <c r="L30" s="14" t="s">
        <v>34</v>
      </c>
      <c r="M30" s="16">
        <v>2</v>
      </c>
      <c r="N30" s="17">
        <v>221025</v>
      </c>
      <c r="O30" s="17">
        <v>210500</v>
      </c>
      <c r="P30" s="17" t="s">
        <v>29</v>
      </c>
      <c r="Q30" s="16" t="s">
        <v>29</v>
      </c>
      <c r="R30" s="16" t="s">
        <v>29</v>
      </c>
      <c r="S30" s="11"/>
      <c r="V30" s="18">
        <v>45758</v>
      </c>
      <c r="W30" s="13">
        <f t="shared" si="0"/>
        <v>215762.5</v>
      </c>
      <c r="X30" s="19">
        <f t="shared" si="1"/>
        <v>210500</v>
      </c>
      <c r="Y30" s="19">
        <f t="shared" si="2"/>
        <v>221025</v>
      </c>
      <c r="Z30" s="13">
        <f t="shared" si="3"/>
        <v>5262.5</v>
      </c>
      <c r="AA30" s="20">
        <f t="shared" si="4"/>
        <v>3.449301371641695E-2</v>
      </c>
    </row>
    <row r="31" spans="1:27" x14ac:dyDescent="0.25">
      <c r="A31" s="73" t="s">
        <v>30</v>
      </c>
      <c r="B31" s="22" t="s">
        <v>90</v>
      </c>
      <c r="C31" s="11" t="s">
        <v>32</v>
      </c>
      <c r="D31" s="11" t="s">
        <v>91</v>
      </c>
      <c r="E31" s="11" t="s">
        <v>27</v>
      </c>
      <c r="F31" s="11" t="s">
        <v>27</v>
      </c>
      <c r="H31" s="11" t="s">
        <v>27</v>
      </c>
      <c r="I31" s="13">
        <v>235000000</v>
      </c>
      <c r="J31" s="14" t="s">
        <v>34</v>
      </c>
      <c r="K31" s="14">
        <v>1</v>
      </c>
      <c r="L31" s="16">
        <v>0</v>
      </c>
      <c r="M31" s="16">
        <v>0</v>
      </c>
      <c r="N31" s="17" t="s">
        <v>29</v>
      </c>
      <c r="O31" s="17" t="s">
        <v>29</v>
      </c>
      <c r="P31" s="17" t="s">
        <v>29</v>
      </c>
      <c r="Q31" s="16" t="s">
        <v>29</v>
      </c>
      <c r="R31" s="16" t="s">
        <v>29</v>
      </c>
      <c r="S31" s="11"/>
      <c r="V31" s="16" t="s">
        <v>29</v>
      </c>
      <c r="W31" s="13" t="e">
        <f t="shared" si="0"/>
        <v>#DIV/0!</v>
      </c>
      <c r="X31" s="19">
        <f t="shared" si="1"/>
        <v>0</v>
      </c>
      <c r="Y31" s="19">
        <f t="shared" si="2"/>
        <v>0</v>
      </c>
      <c r="Z31" s="13" t="e">
        <f t="shared" si="3"/>
        <v>#NUM!</v>
      </c>
      <c r="AA31" s="20" t="e">
        <f t="shared" si="4"/>
        <v>#DIV/0!</v>
      </c>
    </row>
    <row r="32" spans="1:27" x14ac:dyDescent="0.25">
      <c r="A32" s="73" t="s">
        <v>30</v>
      </c>
      <c r="B32" s="22" t="s">
        <v>92</v>
      </c>
      <c r="C32" s="11" t="s">
        <v>32</v>
      </c>
      <c r="D32" s="11" t="s">
        <v>93</v>
      </c>
      <c r="E32" s="11" t="s">
        <v>27</v>
      </c>
      <c r="F32" s="11" t="s">
        <v>27</v>
      </c>
      <c r="H32" s="11" t="s">
        <v>27</v>
      </c>
      <c r="I32" s="13">
        <v>535000000</v>
      </c>
      <c r="J32" s="14" t="s">
        <v>94</v>
      </c>
      <c r="K32" s="14">
        <v>1</v>
      </c>
      <c r="L32" s="16">
        <v>3</v>
      </c>
      <c r="M32" s="16">
        <v>3</v>
      </c>
      <c r="N32" s="17">
        <v>535000000</v>
      </c>
      <c r="O32" s="17">
        <v>511000000</v>
      </c>
      <c r="P32" s="17">
        <v>559000000</v>
      </c>
      <c r="Q32" s="16" t="s">
        <v>29</v>
      </c>
      <c r="R32" s="16" t="s">
        <v>29</v>
      </c>
      <c r="S32" s="11"/>
      <c r="V32" s="18">
        <v>45742</v>
      </c>
      <c r="W32" s="13">
        <f t="shared" si="0"/>
        <v>535000000</v>
      </c>
      <c r="X32" s="19">
        <f t="shared" si="1"/>
        <v>511000000</v>
      </c>
      <c r="Y32" s="19">
        <f t="shared" si="2"/>
        <v>559000000</v>
      </c>
      <c r="Z32" s="13">
        <f t="shared" si="3"/>
        <v>16000000</v>
      </c>
      <c r="AA32" s="20">
        <f t="shared" si="4"/>
        <v>4.4859813084112146E-2</v>
      </c>
    </row>
    <row r="33" spans="1:75" x14ac:dyDescent="0.25">
      <c r="A33" s="73" t="s">
        <v>30</v>
      </c>
      <c r="B33" s="22" t="s">
        <v>95</v>
      </c>
      <c r="C33" s="11" t="s">
        <v>32</v>
      </c>
      <c r="D33" s="11" t="s">
        <v>96</v>
      </c>
      <c r="E33" s="11" t="s">
        <v>27</v>
      </c>
      <c r="F33" s="11" t="s">
        <v>27</v>
      </c>
      <c r="H33" s="11" t="s">
        <v>27</v>
      </c>
      <c r="I33" s="13">
        <v>118666666.67</v>
      </c>
      <c r="J33" s="14" t="s">
        <v>97</v>
      </c>
      <c r="K33" s="14">
        <v>1</v>
      </c>
      <c r="L33" s="16">
        <v>5</v>
      </c>
      <c r="M33" s="16">
        <v>3</v>
      </c>
      <c r="N33" s="17">
        <v>120000000</v>
      </c>
      <c r="O33" s="17">
        <v>121000000</v>
      </c>
      <c r="P33" s="17">
        <v>115000000</v>
      </c>
      <c r="Q33" s="16" t="s">
        <v>29</v>
      </c>
      <c r="R33" s="16" t="s">
        <v>29</v>
      </c>
      <c r="S33" s="11"/>
      <c r="V33" s="16" t="s">
        <v>29</v>
      </c>
      <c r="W33" s="13">
        <f t="shared" si="0"/>
        <v>118666666.66666667</v>
      </c>
      <c r="X33" s="19">
        <f t="shared" si="1"/>
        <v>115000000</v>
      </c>
      <c r="Y33" s="19">
        <f t="shared" si="2"/>
        <v>121000000</v>
      </c>
      <c r="Z33" s="13">
        <f t="shared" si="3"/>
        <v>2444444.4444444426</v>
      </c>
      <c r="AA33" s="20">
        <f t="shared" si="4"/>
        <v>2.7088906632002679E-2</v>
      </c>
    </row>
    <row r="34" spans="1:75" x14ac:dyDescent="0.25">
      <c r="A34" s="73" t="s">
        <v>24</v>
      </c>
      <c r="B34" s="22" t="s">
        <v>98</v>
      </c>
      <c r="C34" s="11" t="s">
        <v>25</v>
      </c>
      <c r="D34" s="11" t="s">
        <v>99</v>
      </c>
      <c r="E34" s="11" t="s">
        <v>27</v>
      </c>
      <c r="F34" s="11" t="s">
        <v>27</v>
      </c>
      <c r="H34" s="11" t="s">
        <v>27</v>
      </c>
      <c r="I34" s="13">
        <v>1010000000</v>
      </c>
      <c r="J34" s="14" t="s">
        <v>34</v>
      </c>
      <c r="K34" s="14">
        <v>4</v>
      </c>
      <c r="L34" s="16">
        <v>15</v>
      </c>
      <c r="M34" s="16">
        <v>1</v>
      </c>
      <c r="N34" s="17">
        <v>1010000000</v>
      </c>
      <c r="O34" s="17" t="s">
        <v>29</v>
      </c>
      <c r="P34" s="17" t="s">
        <v>29</v>
      </c>
      <c r="Q34" s="16" t="s">
        <v>29</v>
      </c>
      <c r="R34" s="16" t="s">
        <v>29</v>
      </c>
      <c r="S34" s="11"/>
      <c r="V34" s="18">
        <v>45709</v>
      </c>
      <c r="W34" s="13">
        <f t="shared" si="0"/>
        <v>1010000000</v>
      </c>
      <c r="X34" s="19">
        <f t="shared" si="1"/>
        <v>1010000000</v>
      </c>
      <c r="Y34" s="19">
        <f t="shared" si="2"/>
        <v>1010000000</v>
      </c>
      <c r="Z34" s="13">
        <f t="shared" si="3"/>
        <v>0</v>
      </c>
      <c r="AA34" s="20" t="e">
        <f t="shared" si="4"/>
        <v>#DIV/0!</v>
      </c>
    </row>
    <row r="35" spans="1:75" x14ac:dyDescent="0.25">
      <c r="A35" s="73" t="s">
        <v>30</v>
      </c>
      <c r="B35" s="22" t="s">
        <v>100</v>
      </c>
      <c r="C35" s="11" t="s">
        <v>32</v>
      </c>
      <c r="D35" s="11" t="s">
        <v>96</v>
      </c>
      <c r="E35" s="11" t="s">
        <v>27</v>
      </c>
      <c r="F35" s="11" t="s">
        <v>27</v>
      </c>
      <c r="H35" s="11" t="s">
        <v>27</v>
      </c>
      <c r="I35" s="13">
        <v>118666666.67</v>
      </c>
      <c r="J35" s="14" t="s">
        <v>97</v>
      </c>
      <c r="K35" s="14">
        <v>1</v>
      </c>
      <c r="L35" s="16">
        <v>5</v>
      </c>
      <c r="M35" s="16">
        <v>3</v>
      </c>
      <c r="N35" s="17">
        <v>120000000</v>
      </c>
      <c r="O35" s="17">
        <v>121000000</v>
      </c>
      <c r="P35" s="17">
        <v>115000000</v>
      </c>
      <c r="Q35" s="16" t="s">
        <v>29</v>
      </c>
      <c r="R35" s="16" t="s">
        <v>29</v>
      </c>
      <c r="S35" s="11"/>
      <c r="V35" s="16" t="s">
        <v>29</v>
      </c>
      <c r="W35" s="13">
        <f t="shared" si="0"/>
        <v>118666666.66666667</v>
      </c>
      <c r="X35" s="19">
        <f t="shared" si="1"/>
        <v>115000000</v>
      </c>
      <c r="Y35" s="19">
        <f t="shared" si="2"/>
        <v>121000000</v>
      </c>
      <c r="Z35" s="13">
        <f t="shared" si="3"/>
        <v>2444444.4444444426</v>
      </c>
      <c r="AA35" s="20">
        <f t="shared" si="4"/>
        <v>2.7088906632002679E-2</v>
      </c>
    </row>
    <row r="36" spans="1:75" s="25" customFormat="1" x14ac:dyDescent="0.25">
      <c r="A36" s="74"/>
      <c r="B36" s="26"/>
      <c r="I36" s="27"/>
      <c r="J36" s="28"/>
      <c r="K36" s="28"/>
      <c r="L36" s="29"/>
      <c r="M36" s="29"/>
      <c r="N36" s="30"/>
      <c r="O36" s="30"/>
      <c r="P36" s="30"/>
      <c r="Q36" s="29"/>
      <c r="R36" s="29"/>
      <c r="S36" s="29"/>
    </row>
    <row r="37" spans="1:75" x14ac:dyDescent="0.25">
      <c r="A37" s="75">
        <v>2024</v>
      </c>
    </row>
    <row r="38" spans="1:75" x14ac:dyDescent="0.25">
      <c r="A38" s="76" t="s">
        <v>30</v>
      </c>
      <c r="B38" s="34" t="s">
        <v>101</v>
      </c>
      <c r="C38" s="34" t="s">
        <v>32</v>
      </c>
      <c r="D38" s="34" t="s">
        <v>61</v>
      </c>
      <c r="E38" s="34" t="s">
        <v>27</v>
      </c>
      <c r="F38" s="34" t="s">
        <v>27</v>
      </c>
      <c r="G38" s="34"/>
      <c r="H38" s="34" t="s">
        <v>27</v>
      </c>
      <c r="I38" s="35">
        <v>904397792.96000004</v>
      </c>
      <c r="J38" s="36" t="s">
        <v>34</v>
      </c>
      <c r="K38" s="36">
        <v>1</v>
      </c>
      <c r="L38" s="36">
        <v>11</v>
      </c>
      <c r="M38" s="36">
        <v>3</v>
      </c>
      <c r="N38" s="36" t="s">
        <v>102</v>
      </c>
      <c r="O38" s="37">
        <v>1380986452</v>
      </c>
      <c r="P38" s="37">
        <v>904397792.96000004</v>
      </c>
      <c r="Q38" s="36" t="s">
        <v>29</v>
      </c>
      <c r="R38" s="36" t="s">
        <v>29</v>
      </c>
      <c r="S38" s="36" t="s">
        <v>29</v>
      </c>
      <c r="T38" s="36" t="s">
        <v>29</v>
      </c>
      <c r="U38" s="36" t="s">
        <v>29</v>
      </c>
      <c r="V38" s="38">
        <v>45653</v>
      </c>
      <c r="W38" s="39">
        <v>1195325014.99</v>
      </c>
      <c r="X38" s="37"/>
      <c r="Y38" s="37"/>
      <c r="Z38" s="37">
        <v>255136927.16</v>
      </c>
      <c r="AA38" s="40" t="s">
        <v>103</v>
      </c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</row>
    <row r="39" spans="1:75" x14ac:dyDescent="0.25">
      <c r="A39" s="76" t="s">
        <v>30</v>
      </c>
      <c r="B39" s="34" t="s">
        <v>104</v>
      </c>
      <c r="C39" s="34" t="s">
        <v>32</v>
      </c>
      <c r="D39" s="34" t="s">
        <v>56</v>
      </c>
      <c r="E39" s="34" t="s">
        <v>27</v>
      </c>
      <c r="F39" s="34" t="s">
        <v>27</v>
      </c>
      <c r="G39" s="34"/>
      <c r="H39" s="34" t="s">
        <v>27</v>
      </c>
      <c r="I39" s="35">
        <v>953082665.96000004</v>
      </c>
      <c r="J39" s="36" t="s">
        <v>105</v>
      </c>
      <c r="K39" s="36">
        <v>1</v>
      </c>
      <c r="L39" s="36" t="s">
        <v>34</v>
      </c>
      <c r="M39" s="36">
        <v>3</v>
      </c>
      <c r="N39" s="37">
        <v>953082665.96000004</v>
      </c>
      <c r="O39" s="37">
        <v>1190456238</v>
      </c>
      <c r="P39" s="37">
        <v>1287450215.2</v>
      </c>
      <c r="Q39" s="36" t="s">
        <v>29</v>
      </c>
      <c r="R39" s="36" t="s">
        <v>29</v>
      </c>
      <c r="S39" s="36" t="s">
        <v>29</v>
      </c>
      <c r="T39" s="36" t="s">
        <v>29</v>
      </c>
      <c r="U39" s="36" t="s">
        <v>29</v>
      </c>
      <c r="V39" s="38" t="s">
        <v>34</v>
      </c>
      <c r="W39" s="39">
        <v>1143663039.72</v>
      </c>
      <c r="X39" s="37"/>
      <c r="Y39" s="37"/>
      <c r="Z39" s="37">
        <v>172025047.74000001</v>
      </c>
      <c r="AA39" s="40" t="s">
        <v>106</v>
      </c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</row>
    <row r="40" spans="1:75" x14ac:dyDescent="0.25">
      <c r="A40" s="76" t="s">
        <v>24</v>
      </c>
      <c r="B40" s="34" t="s">
        <v>107</v>
      </c>
      <c r="C40" s="34" t="s">
        <v>25</v>
      </c>
      <c r="D40" s="34" t="s">
        <v>108</v>
      </c>
      <c r="E40" s="34" t="s">
        <v>27</v>
      </c>
      <c r="F40" s="34" t="s">
        <v>27</v>
      </c>
      <c r="G40" s="34"/>
      <c r="H40" s="34" t="s">
        <v>27</v>
      </c>
      <c r="I40" s="35">
        <v>80000000</v>
      </c>
      <c r="J40" s="36" t="s">
        <v>34</v>
      </c>
      <c r="K40" s="36">
        <v>1</v>
      </c>
      <c r="L40" s="36" t="s">
        <v>34</v>
      </c>
      <c r="M40" s="36">
        <v>3</v>
      </c>
      <c r="N40" s="39">
        <v>125742000</v>
      </c>
      <c r="O40" s="41">
        <v>178220000</v>
      </c>
      <c r="P40" s="41">
        <v>80000000</v>
      </c>
      <c r="Q40" s="42" t="s">
        <v>29</v>
      </c>
      <c r="R40" s="36" t="s">
        <v>29</v>
      </c>
      <c r="S40" s="36" t="s">
        <v>29</v>
      </c>
      <c r="T40" s="36" t="s">
        <v>29</v>
      </c>
      <c r="U40" s="36" t="s">
        <v>29</v>
      </c>
      <c r="V40" s="38" t="s">
        <v>34</v>
      </c>
      <c r="W40" s="38" t="s">
        <v>34</v>
      </c>
      <c r="X40" s="41"/>
      <c r="Y40" s="41"/>
      <c r="Z40" s="38" t="s">
        <v>34</v>
      </c>
      <c r="AA40" s="38" t="s">
        <v>34</v>
      </c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43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</row>
    <row r="41" spans="1:75" x14ac:dyDescent="0.25">
      <c r="A41" s="76" t="s">
        <v>24</v>
      </c>
      <c r="B41" s="34" t="s">
        <v>109</v>
      </c>
      <c r="C41" s="34" t="s">
        <v>25</v>
      </c>
      <c r="D41" s="34" t="s">
        <v>110</v>
      </c>
      <c r="E41" s="34" t="s">
        <v>27</v>
      </c>
      <c r="F41" s="34" t="s">
        <v>27</v>
      </c>
      <c r="G41" s="34"/>
      <c r="H41" s="34" t="s">
        <v>27</v>
      </c>
      <c r="I41" s="35">
        <v>6597638499</v>
      </c>
      <c r="J41" s="36" t="s">
        <v>34</v>
      </c>
      <c r="K41" s="36">
        <v>6</v>
      </c>
      <c r="L41" s="36" t="s">
        <v>34</v>
      </c>
      <c r="M41" s="36">
        <v>8</v>
      </c>
      <c r="N41" s="37">
        <v>7700571230</v>
      </c>
      <c r="O41" s="37">
        <v>7515498891</v>
      </c>
      <c r="P41" s="37">
        <v>5135680358.3999996</v>
      </c>
      <c r="Q41" s="37">
        <v>7720000000</v>
      </c>
      <c r="R41" s="37">
        <v>7258951504</v>
      </c>
      <c r="S41" s="37">
        <v>6597638499</v>
      </c>
      <c r="T41" s="37">
        <v>6799366295</v>
      </c>
      <c r="U41" s="37">
        <v>6608137397</v>
      </c>
      <c r="V41" s="38" t="s">
        <v>34</v>
      </c>
      <c r="W41" s="38" t="s">
        <v>34</v>
      </c>
      <c r="X41" s="37"/>
      <c r="Y41" s="37"/>
      <c r="Z41" s="38" t="s">
        <v>34</v>
      </c>
      <c r="AA41" s="38" t="s">
        <v>34</v>
      </c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43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</row>
    <row r="42" spans="1:75" x14ac:dyDescent="0.25">
      <c r="A42" s="76" t="s">
        <v>24</v>
      </c>
      <c r="B42" s="34" t="s">
        <v>111</v>
      </c>
      <c r="C42" s="34" t="s">
        <v>25</v>
      </c>
      <c r="D42" s="34" t="s">
        <v>112</v>
      </c>
      <c r="E42" s="34" t="s">
        <v>27</v>
      </c>
      <c r="F42" s="34" t="s">
        <v>27</v>
      </c>
      <c r="G42" s="34"/>
      <c r="H42" s="34" t="s">
        <v>27</v>
      </c>
      <c r="I42" s="35">
        <v>3800000000</v>
      </c>
      <c r="J42" s="36" t="s">
        <v>34</v>
      </c>
      <c r="K42" s="36" t="s">
        <v>34</v>
      </c>
      <c r="L42" s="36" t="s">
        <v>34</v>
      </c>
      <c r="M42" s="36">
        <v>3</v>
      </c>
      <c r="N42" s="37">
        <v>4742560064</v>
      </c>
      <c r="O42" s="37">
        <v>4970015000</v>
      </c>
      <c r="P42" s="37">
        <v>3800000000</v>
      </c>
      <c r="Q42" s="36" t="s">
        <v>29</v>
      </c>
      <c r="R42" s="36" t="s">
        <v>29</v>
      </c>
      <c r="S42" s="36" t="s">
        <v>29</v>
      </c>
      <c r="T42" s="36" t="s">
        <v>29</v>
      </c>
      <c r="U42" s="36" t="s">
        <v>29</v>
      </c>
      <c r="V42" s="38">
        <v>45583</v>
      </c>
      <c r="W42" s="38" t="s">
        <v>34</v>
      </c>
      <c r="X42" s="37"/>
      <c r="Y42" s="37"/>
      <c r="Z42" s="38" t="s">
        <v>34</v>
      </c>
      <c r="AA42" s="38" t="s">
        <v>34</v>
      </c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43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</row>
    <row r="43" spans="1:75" x14ac:dyDescent="0.25">
      <c r="A43" s="76" t="s">
        <v>30</v>
      </c>
      <c r="B43" s="44" t="s">
        <v>113</v>
      </c>
      <c r="C43" s="34" t="s">
        <v>32</v>
      </c>
      <c r="D43" s="34" t="s">
        <v>114</v>
      </c>
      <c r="E43" s="34" t="s">
        <v>27</v>
      </c>
      <c r="F43" s="34" t="s">
        <v>27</v>
      </c>
      <c r="G43" s="34"/>
      <c r="H43" s="34" t="s">
        <v>27</v>
      </c>
      <c r="I43" s="35">
        <v>170000000</v>
      </c>
      <c r="J43" s="36"/>
      <c r="K43" s="36">
        <v>1</v>
      </c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8"/>
      <c r="W43" s="39"/>
      <c r="X43" s="41"/>
      <c r="Y43" s="41"/>
      <c r="Z43" s="36"/>
      <c r="AA43" s="40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</row>
    <row r="44" spans="1:75" x14ac:dyDescent="0.25">
      <c r="A44" s="76" t="s">
        <v>30</v>
      </c>
      <c r="B44" s="44" t="s">
        <v>115</v>
      </c>
      <c r="C44" s="34" t="s">
        <v>32</v>
      </c>
      <c r="D44" s="34" t="s">
        <v>114</v>
      </c>
      <c r="E44" s="34" t="s">
        <v>27</v>
      </c>
      <c r="F44" s="34" t="s">
        <v>27</v>
      </c>
      <c r="G44" s="34"/>
      <c r="H44" s="34" t="s">
        <v>27</v>
      </c>
      <c r="I44" s="35">
        <v>170000000</v>
      </c>
      <c r="J44" s="36"/>
      <c r="K44" s="36">
        <v>1</v>
      </c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8"/>
      <c r="W44" s="39"/>
      <c r="X44" s="41"/>
      <c r="Y44" s="41"/>
      <c r="Z44" s="36"/>
      <c r="AA44" s="40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</row>
    <row r="45" spans="1:75" x14ac:dyDescent="0.25">
      <c r="A45" s="76" t="s">
        <v>30</v>
      </c>
      <c r="B45" s="44" t="s">
        <v>116</v>
      </c>
      <c r="C45" s="34" t="s">
        <v>32</v>
      </c>
      <c r="D45" s="34" t="s">
        <v>117</v>
      </c>
      <c r="E45" s="34" t="s">
        <v>27</v>
      </c>
      <c r="F45" s="34" t="s">
        <v>27</v>
      </c>
      <c r="G45" s="34"/>
      <c r="H45" s="34" t="s">
        <v>27</v>
      </c>
      <c r="I45" s="35">
        <v>170000000</v>
      </c>
      <c r="J45" s="36"/>
      <c r="K45" s="36">
        <v>1</v>
      </c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8">
        <v>45629</v>
      </c>
      <c r="W45" s="39"/>
      <c r="X45" s="36"/>
      <c r="Y45" s="36"/>
      <c r="Z45" s="36"/>
      <c r="AA45" s="40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</row>
    <row r="46" spans="1:75" x14ac:dyDescent="0.25">
      <c r="A46" s="76" t="s">
        <v>30</v>
      </c>
      <c r="B46" s="44" t="s">
        <v>118</v>
      </c>
      <c r="C46" s="34" t="s">
        <v>32</v>
      </c>
      <c r="D46" s="34" t="s">
        <v>117</v>
      </c>
      <c r="E46" s="34" t="s">
        <v>27</v>
      </c>
      <c r="F46" s="34" t="s">
        <v>27</v>
      </c>
      <c r="G46" s="34"/>
      <c r="H46" s="34" t="s">
        <v>27</v>
      </c>
      <c r="I46" s="35">
        <v>170000000</v>
      </c>
      <c r="J46" s="36"/>
      <c r="K46" s="36">
        <v>1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8"/>
      <c r="W46" s="39"/>
      <c r="X46" s="36"/>
      <c r="Y46" s="41"/>
      <c r="Z46" s="36"/>
      <c r="AA46" s="40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</row>
    <row r="47" spans="1:75" x14ac:dyDescent="0.25">
      <c r="A47" s="77" t="s">
        <v>30</v>
      </c>
      <c r="B47" s="46" t="s">
        <v>118</v>
      </c>
      <c r="C47" s="45" t="s">
        <v>32</v>
      </c>
      <c r="D47" s="45" t="s">
        <v>117</v>
      </c>
      <c r="E47" s="45" t="s">
        <v>27</v>
      </c>
      <c r="F47" s="45" t="s">
        <v>27</v>
      </c>
      <c r="G47" s="45"/>
      <c r="H47" s="45" t="s">
        <v>27</v>
      </c>
      <c r="I47" s="47">
        <v>170000000</v>
      </c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9"/>
      <c r="W47" s="50"/>
      <c r="X47" s="48"/>
      <c r="Y47" s="51"/>
      <c r="Z47" s="48"/>
      <c r="AA47" s="52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53"/>
      <c r="BC47" s="53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</row>
    <row r="48" spans="1:75" x14ac:dyDescent="0.25">
      <c r="A48" s="76" t="s">
        <v>30</v>
      </c>
      <c r="B48" s="44" t="s">
        <v>119</v>
      </c>
      <c r="C48" s="34" t="s">
        <v>32</v>
      </c>
      <c r="D48" s="34" t="s">
        <v>117</v>
      </c>
      <c r="E48" s="34" t="s">
        <v>27</v>
      </c>
      <c r="F48" s="34" t="s">
        <v>27</v>
      </c>
      <c r="G48" s="34"/>
      <c r="H48" s="34" t="s">
        <v>27</v>
      </c>
      <c r="I48" s="35">
        <v>170000000</v>
      </c>
      <c r="J48" s="36"/>
      <c r="K48" s="36">
        <v>1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8"/>
      <c r="W48" s="39"/>
      <c r="X48" s="36"/>
      <c r="Y48" s="41"/>
      <c r="Z48" s="36"/>
      <c r="AA48" s="40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43"/>
      <c r="BC48" s="43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</row>
    <row r="49" spans="1:75" x14ac:dyDescent="0.25">
      <c r="A49" s="76" t="s">
        <v>30</v>
      </c>
      <c r="B49" s="34" t="s">
        <v>120</v>
      </c>
      <c r="C49" s="34" t="s">
        <v>32</v>
      </c>
      <c r="D49" s="34" t="s">
        <v>121</v>
      </c>
      <c r="E49" s="34" t="s">
        <v>27</v>
      </c>
      <c r="F49" s="34" t="s">
        <v>27</v>
      </c>
      <c r="G49" s="34"/>
      <c r="H49" s="34" t="s">
        <v>27</v>
      </c>
      <c r="I49" s="35">
        <v>870805174.96000004</v>
      </c>
      <c r="J49" s="54" t="s">
        <v>122</v>
      </c>
      <c r="K49" s="36">
        <v>1</v>
      </c>
      <c r="L49" s="36" t="s">
        <v>34</v>
      </c>
      <c r="M49" s="36">
        <v>3</v>
      </c>
      <c r="N49" s="37">
        <v>870805174.96000004</v>
      </c>
      <c r="O49" s="37">
        <v>1295989897</v>
      </c>
      <c r="P49" s="37">
        <v>1380986452</v>
      </c>
      <c r="Q49" s="36" t="s">
        <v>29</v>
      </c>
      <c r="R49" s="36" t="s">
        <v>29</v>
      </c>
      <c r="S49" s="36" t="s">
        <v>29</v>
      </c>
      <c r="T49" s="36" t="s">
        <v>29</v>
      </c>
      <c r="U49" s="36" t="s">
        <v>29</v>
      </c>
      <c r="V49" s="38">
        <v>45569</v>
      </c>
      <c r="W49" s="38" t="s">
        <v>34</v>
      </c>
      <c r="X49" s="37"/>
      <c r="Y49" s="37"/>
      <c r="Z49" s="38" t="s">
        <v>34</v>
      </c>
      <c r="AA49" s="38" t="s">
        <v>34</v>
      </c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</row>
    <row r="50" spans="1:75" x14ac:dyDescent="0.25">
      <c r="A50" s="76" t="s">
        <v>30</v>
      </c>
      <c r="B50" s="34" t="s">
        <v>123</v>
      </c>
      <c r="C50" s="34" t="s">
        <v>32</v>
      </c>
      <c r="D50" s="34" t="s">
        <v>124</v>
      </c>
      <c r="E50" s="34" t="s">
        <v>27</v>
      </c>
      <c r="F50" s="34" t="s">
        <v>27</v>
      </c>
      <c r="G50" s="34"/>
      <c r="H50" s="34" t="s">
        <v>27</v>
      </c>
      <c r="I50" s="35">
        <v>904397792.96000004</v>
      </c>
      <c r="J50" s="36" t="s">
        <v>34</v>
      </c>
      <c r="K50" s="36">
        <v>1</v>
      </c>
      <c r="L50" s="36">
        <v>11</v>
      </c>
      <c r="M50" s="36">
        <v>3</v>
      </c>
      <c r="N50" s="36" t="s">
        <v>125</v>
      </c>
      <c r="O50" s="37">
        <v>1380986452</v>
      </c>
      <c r="P50" s="37">
        <v>904397792.96000004</v>
      </c>
      <c r="Q50" s="36" t="s">
        <v>29</v>
      </c>
      <c r="R50" s="36" t="s">
        <v>29</v>
      </c>
      <c r="S50" s="36" t="s">
        <v>29</v>
      </c>
      <c r="T50" s="36" t="s">
        <v>29</v>
      </c>
      <c r="U50" s="36" t="s">
        <v>29</v>
      </c>
      <c r="V50" s="55">
        <v>45608</v>
      </c>
      <c r="W50" s="39">
        <v>1195325014.99</v>
      </c>
      <c r="X50" s="38" t="s">
        <v>34</v>
      </c>
      <c r="Y50" s="38" t="s">
        <v>34</v>
      </c>
      <c r="Z50" s="37">
        <v>255136927.16</v>
      </c>
      <c r="AA50" s="40" t="s">
        <v>103</v>
      </c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</row>
    <row r="51" spans="1:75" x14ac:dyDescent="0.25">
      <c r="A51" s="76" t="s">
        <v>30</v>
      </c>
      <c r="B51" s="44" t="s">
        <v>126</v>
      </c>
      <c r="C51" s="34" t="s">
        <v>32</v>
      </c>
      <c r="D51" s="34" t="s">
        <v>127</v>
      </c>
      <c r="E51" s="34" t="s">
        <v>27</v>
      </c>
      <c r="F51" s="34" t="s">
        <v>27</v>
      </c>
      <c r="G51" s="34"/>
      <c r="H51" s="34" t="s">
        <v>27</v>
      </c>
      <c r="I51" s="35">
        <v>510000000</v>
      </c>
      <c r="J51" s="36"/>
      <c r="K51" s="36">
        <v>3</v>
      </c>
      <c r="L51" s="36"/>
      <c r="M51" s="42"/>
      <c r="N51" s="42"/>
      <c r="O51" s="42"/>
      <c r="P51" s="42"/>
      <c r="Q51" s="42"/>
      <c r="R51" s="42"/>
      <c r="S51" s="42"/>
      <c r="T51" s="42"/>
      <c r="U51" s="42"/>
      <c r="V51" s="38"/>
      <c r="W51" s="36"/>
      <c r="X51" s="36"/>
      <c r="Y51" s="36"/>
      <c r="Z51" s="36"/>
      <c r="AA51" s="36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</row>
    <row r="52" spans="1:75" x14ac:dyDescent="0.25">
      <c r="A52" s="76" t="s">
        <v>30</v>
      </c>
      <c r="B52" s="34" t="s">
        <v>128</v>
      </c>
      <c r="C52" s="34" t="s">
        <v>32</v>
      </c>
      <c r="D52" s="34" t="s">
        <v>129</v>
      </c>
      <c r="E52" s="34" t="s">
        <v>27</v>
      </c>
      <c r="F52" s="34" t="s">
        <v>27</v>
      </c>
      <c r="G52" s="34"/>
      <c r="H52" s="34" t="s">
        <v>27</v>
      </c>
      <c r="I52" s="35">
        <v>237820116.13999999</v>
      </c>
      <c r="J52" s="36" t="s">
        <v>34</v>
      </c>
      <c r="K52" s="36">
        <v>1</v>
      </c>
      <c r="L52" s="36" t="s">
        <v>34</v>
      </c>
      <c r="M52" s="36">
        <v>3</v>
      </c>
      <c r="N52" s="37" t="s">
        <v>130</v>
      </c>
      <c r="O52" s="37" t="s">
        <v>131</v>
      </c>
      <c r="P52" s="37" t="s">
        <v>132</v>
      </c>
      <c r="Q52" s="36" t="s">
        <v>29</v>
      </c>
      <c r="R52" s="36" t="s">
        <v>29</v>
      </c>
      <c r="S52" s="36" t="s">
        <v>29</v>
      </c>
      <c r="T52" s="36" t="s">
        <v>29</v>
      </c>
      <c r="U52" s="36" t="s">
        <v>29</v>
      </c>
      <c r="V52" s="38">
        <v>45597</v>
      </c>
      <c r="W52" s="39" t="s">
        <v>133</v>
      </c>
      <c r="X52" s="36" t="s">
        <v>34</v>
      </c>
      <c r="Y52" s="36" t="s">
        <v>34</v>
      </c>
      <c r="Z52" s="38" t="s">
        <v>34</v>
      </c>
      <c r="AA52" s="38" t="s">
        <v>34</v>
      </c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43"/>
      <c r="BC52" s="43"/>
    </row>
    <row r="53" spans="1:75" x14ac:dyDescent="0.25">
      <c r="A53" s="76" t="s">
        <v>30</v>
      </c>
      <c r="B53" s="34" t="s">
        <v>134</v>
      </c>
      <c r="C53" s="34" t="s">
        <v>32</v>
      </c>
      <c r="D53" s="34" t="s">
        <v>129</v>
      </c>
      <c r="E53" s="34" t="s">
        <v>27</v>
      </c>
      <c r="F53" s="34" t="s">
        <v>27</v>
      </c>
      <c r="G53" s="34"/>
      <c r="H53" s="34" t="s">
        <v>27</v>
      </c>
      <c r="I53" s="35">
        <v>237820116.13999999</v>
      </c>
      <c r="J53" s="36" t="s">
        <v>34</v>
      </c>
      <c r="K53" s="36">
        <v>1</v>
      </c>
      <c r="L53" s="36" t="s">
        <v>34</v>
      </c>
      <c r="M53" s="36">
        <v>3</v>
      </c>
      <c r="N53" s="37" t="s">
        <v>130</v>
      </c>
      <c r="O53" s="37" t="s">
        <v>131</v>
      </c>
      <c r="P53" s="37" t="s">
        <v>132</v>
      </c>
      <c r="Q53" s="36" t="s">
        <v>29</v>
      </c>
      <c r="R53" s="36" t="s">
        <v>29</v>
      </c>
      <c r="S53" s="36" t="s">
        <v>29</v>
      </c>
      <c r="T53" s="36" t="s">
        <v>29</v>
      </c>
      <c r="U53" s="36" t="s">
        <v>29</v>
      </c>
      <c r="V53" s="38">
        <v>45597</v>
      </c>
      <c r="W53" s="39" t="s">
        <v>133</v>
      </c>
      <c r="X53" s="36" t="s">
        <v>34</v>
      </c>
      <c r="Y53" s="36" t="s">
        <v>34</v>
      </c>
      <c r="Z53" s="38" t="s">
        <v>34</v>
      </c>
      <c r="AA53" s="38" t="s">
        <v>34</v>
      </c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43"/>
      <c r="BC53" s="43"/>
    </row>
    <row r="54" spans="1:75" x14ac:dyDescent="0.25">
      <c r="A54" s="76" t="s">
        <v>24</v>
      </c>
      <c r="B54" s="44" t="s">
        <v>135</v>
      </c>
      <c r="C54" s="34" t="s">
        <v>25</v>
      </c>
      <c r="D54" s="34" t="s">
        <v>136</v>
      </c>
      <c r="E54" s="34" t="s">
        <v>27</v>
      </c>
      <c r="F54" s="34" t="s">
        <v>27</v>
      </c>
      <c r="G54" s="34"/>
      <c r="H54" s="34" t="s">
        <v>27</v>
      </c>
      <c r="I54" s="35">
        <v>240000000</v>
      </c>
      <c r="J54" s="36"/>
      <c r="K54" s="36">
        <v>2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43"/>
      <c r="BC54" s="34"/>
    </row>
    <row r="55" spans="1:75" x14ac:dyDescent="0.25">
      <c r="A55" s="76" t="s">
        <v>30</v>
      </c>
      <c r="B55" s="34" t="s">
        <v>137</v>
      </c>
      <c r="C55" s="34" t="s">
        <v>32</v>
      </c>
      <c r="D55" s="34" t="s">
        <v>66</v>
      </c>
      <c r="E55" s="34" t="s">
        <v>27</v>
      </c>
      <c r="F55" s="34" t="s">
        <v>27</v>
      </c>
      <c r="G55" s="34"/>
      <c r="H55" s="34" t="s">
        <v>27</v>
      </c>
      <c r="I55" s="35">
        <v>953082665.96000004</v>
      </c>
      <c r="J55" s="36" t="s">
        <v>105</v>
      </c>
      <c r="K55" s="36">
        <v>1</v>
      </c>
      <c r="L55" s="36" t="s">
        <v>34</v>
      </c>
      <c r="M55" s="36">
        <v>3</v>
      </c>
      <c r="N55" s="37">
        <v>953082665.96000004</v>
      </c>
      <c r="O55" s="37">
        <v>1190456238</v>
      </c>
      <c r="P55" s="37">
        <v>1287450215.2</v>
      </c>
      <c r="Q55" s="36" t="s">
        <v>29</v>
      </c>
      <c r="R55" s="36" t="s">
        <v>29</v>
      </c>
      <c r="S55" s="36" t="s">
        <v>29</v>
      </c>
      <c r="T55" s="36" t="s">
        <v>29</v>
      </c>
      <c r="U55" s="36" t="s">
        <v>29</v>
      </c>
      <c r="V55" s="36" t="s">
        <v>29</v>
      </c>
      <c r="W55" s="39">
        <v>1143663039.72</v>
      </c>
      <c r="X55" s="36" t="s">
        <v>34</v>
      </c>
      <c r="Y55" s="36" t="s">
        <v>34</v>
      </c>
      <c r="Z55" s="37">
        <v>172025047.74000001</v>
      </c>
      <c r="AA55" s="40" t="s">
        <v>106</v>
      </c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</row>
    <row r="56" spans="1:75" x14ac:dyDescent="0.25">
      <c r="A56" s="76" t="s">
        <v>30</v>
      </c>
      <c r="B56" s="34" t="s">
        <v>138</v>
      </c>
      <c r="C56" s="34" t="s">
        <v>32</v>
      </c>
      <c r="D56" s="34" t="s">
        <v>129</v>
      </c>
      <c r="E56" s="34" t="s">
        <v>27</v>
      </c>
      <c r="F56" s="34" t="s">
        <v>27</v>
      </c>
      <c r="G56" s="34"/>
      <c r="H56" s="34" t="s">
        <v>27</v>
      </c>
      <c r="I56" s="35">
        <v>475640232.27999997</v>
      </c>
      <c r="J56" s="36" t="s">
        <v>34</v>
      </c>
      <c r="K56" s="36">
        <v>2</v>
      </c>
      <c r="L56" s="36" t="s">
        <v>34</v>
      </c>
      <c r="M56" s="36">
        <v>3</v>
      </c>
      <c r="N56" s="37">
        <v>251160107.03999999</v>
      </c>
      <c r="O56" s="37">
        <v>249270107.03999999</v>
      </c>
      <c r="P56" s="37">
        <v>237820116.13999999</v>
      </c>
      <c r="Q56" s="36" t="s">
        <v>29</v>
      </c>
      <c r="R56" s="36" t="s">
        <v>29</v>
      </c>
      <c r="S56" s="36" t="s">
        <v>29</v>
      </c>
      <c r="T56" s="36" t="s">
        <v>29</v>
      </c>
      <c r="U56" s="36" t="s">
        <v>29</v>
      </c>
      <c r="V56" s="55">
        <v>45580</v>
      </c>
      <c r="W56" s="39">
        <v>246083776.74000001</v>
      </c>
      <c r="X56" s="36" t="s">
        <v>34</v>
      </c>
      <c r="Y56" s="36" t="s">
        <v>34</v>
      </c>
      <c r="Z56" s="38" t="s">
        <v>34</v>
      </c>
      <c r="AA56" s="40" t="s">
        <v>139</v>
      </c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</row>
    <row r="57" spans="1:75" x14ac:dyDescent="0.25">
      <c r="A57" s="76" t="s">
        <v>24</v>
      </c>
      <c r="B57" s="34" t="s">
        <v>140</v>
      </c>
      <c r="C57" s="34" t="s">
        <v>25</v>
      </c>
      <c r="D57" s="34" t="s">
        <v>141</v>
      </c>
      <c r="E57" s="34" t="s">
        <v>27</v>
      </c>
      <c r="F57" s="34" t="s">
        <v>27</v>
      </c>
      <c r="G57" s="34"/>
      <c r="H57" s="34" t="s">
        <v>27</v>
      </c>
      <c r="I57" s="35">
        <v>622546000</v>
      </c>
      <c r="J57" s="36" t="s">
        <v>34</v>
      </c>
      <c r="K57" s="36">
        <v>2</v>
      </c>
      <c r="L57" s="36" t="s">
        <v>34</v>
      </c>
      <c r="M57" s="36">
        <v>3</v>
      </c>
      <c r="N57" s="37">
        <v>676981866.87</v>
      </c>
      <c r="O57" s="41">
        <v>619411780</v>
      </c>
      <c r="P57" s="41">
        <v>811504664</v>
      </c>
      <c r="Q57" s="36" t="s">
        <v>29</v>
      </c>
      <c r="R57" s="36" t="s">
        <v>29</v>
      </c>
      <c r="S57" s="36" t="s">
        <v>29</v>
      </c>
      <c r="T57" s="36" t="s">
        <v>29</v>
      </c>
      <c r="U57" s="36" t="s">
        <v>29</v>
      </c>
      <c r="V57" s="38">
        <v>45544</v>
      </c>
      <c r="W57" s="36" t="s">
        <v>34</v>
      </c>
      <c r="X57" s="36" t="s">
        <v>34</v>
      </c>
      <c r="Y57" s="36" t="s">
        <v>34</v>
      </c>
      <c r="Z57" s="36" t="s">
        <v>34</v>
      </c>
      <c r="AA57" s="36" t="s">
        <v>34</v>
      </c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</row>
    <row r="58" spans="1:75" x14ac:dyDescent="0.25">
      <c r="A58" s="76" t="s">
        <v>24</v>
      </c>
      <c r="B58" s="34" t="s">
        <v>142</v>
      </c>
      <c r="C58" s="34" t="s">
        <v>25</v>
      </c>
      <c r="D58" s="34" t="s">
        <v>143</v>
      </c>
      <c r="E58" s="34" t="s">
        <v>27</v>
      </c>
      <c r="F58" s="34" t="s">
        <v>27</v>
      </c>
      <c r="G58" s="34"/>
      <c r="H58" s="34" t="s">
        <v>27</v>
      </c>
      <c r="I58" s="35">
        <v>1428000000</v>
      </c>
      <c r="J58" s="36" t="s">
        <v>34</v>
      </c>
      <c r="K58" s="36">
        <v>2</v>
      </c>
      <c r="L58" s="36" t="s">
        <v>34</v>
      </c>
      <c r="M58" s="36">
        <v>4</v>
      </c>
      <c r="N58" s="37">
        <v>588002336.5</v>
      </c>
      <c r="O58" s="41">
        <v>470201250</v>
      </c>
      <c r="P58" s="41">
        <v>1428000000</v>
      </c>
      <c r="Q58" s="41">
        <v>734767820</v>
      </c>
      <c r="R58" s="36" t="s">
        <v>29</v>
      </c>
      <c r="S58" s="36" t="s">
        <v>29</v>
      </c>
      <c r="T58" s="36" t="s">
        <v>29</v>
      </c>
      <c r="U58" s="36" t="s">
        <v>29</v>
      </c>
      <c r="V58" s="38">
        <v>45544</v>
      </c>
      <c r="W58" s="36" t="s">
        <v>34</v>
      </c>
      <c r="X58" s="36" t="s">
        <v>34</v>
      </c>
      <c r="Y58" s="36" t="s">
        <v>34</v>
      </c>
      <c r="Z58" s="36" t="s">
        <v>34</v>
      </c>
      <c r="AA58" s="36" t="s">
        <v>34</v>
      </c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</row>
    <row r="59" spans="1:75" x14ac:dyDescent="0.25">
      <c r="A59" s="76" t="s">
        <v>30</v>
      </c>
      <c r="B59" s="34" t="s">
        <v>144</v>
      </c>
      <c r="C59" s="34" t="s">
        <v>32</v>
      </c>
      <c r="D59" s="34" t="s">
        <v>145</v>
      </c>
      <c r="E59" s="34" t="s">
        <v>27</v>
      </c>
      <c r="F59" s="34" t="s">
        <v>27</v>
      </c>
      <c r="G59" s="34"/>
      <c r="H59" s="34" t="s">
        <v>27</v>
      </c>
      <c r="I59" s="35">
        <v>900940078.96000004</v>
      </c>
      <c r="J59" s="36" t="s">
        <v>34</v>
      </c>
      <c r="K59" s="36">
        <v>1</v>
      </c>
      <c r="L59" s="36" t="s">
        <v>34</v>
      </c>
      <c r="M59" s="36">
        <v>3</v>
      </c>
      <c r="N59" s="36" t="s">
        <v>102</v>
      </c>
      <c r="O59" s="37">
        <v>1380986452</v>
      </c>
      <c r="P59" s="37">
        <v>900940078.96000004</v>
      </c>
      <c r="Q59" s="36" t="s">
        <v>29</v>
      </c>
      <c r="R59" s="36" t="s">
        <v>29</v>
      </c>
      <c r="S59" s="36" t="s">
        <v>29</v>
      </c>
      <c r="T59" s="36" t="s">
        <v>29</v>
      </c>
      <c r="U59" s="36" t="s">
        <v>29</v>
      </c>
      <c r="V59" s="38">
        <v>45534</v>
      </c>
      <c r="W59" s="56">
        <v>4190074.5389999999</v>
      </c>
      <c r="X59" s="36" t="s">
        <v>34</v>
      </c>
      <c r="Y59" s="36" t="s">
        <v>34</v>
      </c>
      <c r="Z59" s="37">
        <v>257108498.47999999</v>
      </c>
      <c r="AA59" s="40" t="s">
        <v>146</v>
      </c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</row>
    <row r="60" spans="1:75" x14ac:dyDescent="0.25">
      <c r="A60" s="76" t="s">
        <v>30</v>
      </c>
      <c r="B60" s="34" t="s">
        <v>147</v>
      </c>
      <c r="C60" s="34" t="s">
        <v>32</v>
      </c>
      <c r="D60" s="34" t="s">
        <v>66</v>
      </c>
      <c r="E60" s="34" t="s">
        <v>27</v>
      </c>
      <c r="F60" s="34" t="s">
        <v>27</v>
      </c>
      <c r="G60" s="34"/>
      <c r="H60" s="34" t="s">
        <v>27</v>
      </c>
      <c r="I60" s="35">
        <v>965590079.11000001</v>
      </c>
      <c r="J60" s="36" t="s">
        <v>105</v>
      </c>
      <c r="K60" s="36">
        <v>1</v>
      </c>
      <c r="L60" s="36" t="s">
        <v>34</v>
      </c>
      <c r="M60" s="36">
        <v>3</v>
      </c>
      <c r="N60" s="37">
        <v>965590079.11000001</v>
      </c>
      <c r="O60" s="37">
        <v>1190456238</v>
      </c>
      <c r="P60" s="37">
        <v>1287450215.2</v>
      </c>
      <c r="Q60" s="36" t="s">
        <v>29</v>
      </c>
      <c r="R60" s="36" t="s">
        <v>29</v>
      </c>
      <c r="S60" s="36" t="s">
        <v>29</v>
      </c>
      <c r="T60" s="36" t="s">
        <v>29</v>
      </c>
      <c r="U60" s="36" t="s">
        <v>29</v>
      </c>
      <c r="V60" s="38" t="s">
        <v>29</v>
      </c>
      <c r="W60" s="39">
        <v>1147832177.4400001</v>
      </c>
      <c r="X60" s="36" t="s">
        <v>34</v>
      </c>
      <c r="Y60" s="36" t="s">
        <v>34</v>
      </c>
      <c r="Z60" s="37">
        <v>165109341.66999999</v>
      </c>
      <c r="AA60" s="40" t="s">
        <v>148</v>
      </c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</row>
    <row r="61" spans="1:75" x14ac:dyDescent="0.25">
      <c r="A61" s="76" t="s">
        <v>30</v>
      </c>
      <c r="B61" s="34" t="s">
        <v>149</v>
      </c>
      <c r="C61" s="34" t="s">
        <v>32</v>
      </c>
      <c r="D61" s="34" t="s">
        <v>150</v>
      </c>
      <c r="E61" s="34" t="s">
        <v>27</v>
      </c>
      <c r="F61" s="34" t="s">
        <v>27</v>
      </c>
      <c r="G61" s="34"/>
      <c r="H61" s="34" t="s">
        <v>27</v>
      </c>
      <c r="I61" s="35">
        <v>776848942.96000004</v>
      </c>
      <c r="J61" s="36" t="s">
        <v>151</v>
      </c>
      <c r="K61" s="36">
        <v>1</v>
      </c>
      <c r="L61" s="36" t="s">
        <v>34</v>
      </c>
      <c r="M61" s="36">
        <v>3</v>
      </c>
      <c r="N61" s="37">
        <v>776848942.96000004</v>
      </c>
      <c r="O61" s="37">
        <v>1078965432</v>
      </c>
      <c r="P61" s="37">
        <v>1177896650</v>
      </c>
      <c r="Q61" s="36" t="s">
        <v>29</v>
      </c>
      <c r="R61" s="36" t="s">
        <v>29</v>
      </c>
      <c r="S61" s="36" t="s">
        <v>29</v>
      </c>
      <c r="T61" s="36" t="s">
        <v>29</v>
      </c>
      <c r="U61" s="36" t="s">
        <v>29</v>
      </c>
      <c r="V61" s="36" t="s">
        <v>29</v>
      </c>
      <c r="W61" s="39">
        <v>1011237008.3200001</v>
      </c>
      <c r="X61" s="36" t="s">
        <v>34</v>
      </c>
      <c r="Y61" s="36" t="s">
        <v>34</v>
      </c>
      <c r="Z61" s="37">
        <v>208926231.86000001</v>
      </c>
      <c r="AA61" s="40" t="s">
        <v>152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43"/>
      <c r="BC61" s="43"/>
    </row>
    <row r="62" spans="1:75" x14ac:dyDescent="0.25">
      <c r="A62" s="76" t="s">
        <v>30</v>
      </c>
      <c r="B62" s="34" t="s">
        <v>153</v>
      </c>
      <c r="C62" s="34" t="s">
        <v>32</v>
      </c>
      <c r="D62" s="34" t="s">
        <v>154</v>
      </c>
      <c r="E62" s="34" t="s">
        <v>27</v>
      </c>
      <c r="F62" s="34" t="s">
        <v>27</v>
      </c>
      <c r="G62" s="34"/>
      <c r="H62" s="34" t="s">
        <v>27</v>
      </c>
      <c r="I62" s="35">
        <v>78000000</v>
      </c>
      <c r="J62" s="36" t="s">
        <v>34</v>
      </c>
      <c r="K62" s="36">
        <v>1</v>
      </c>
      <c r="L62" s="36" t="s">
        <v>34</v>
      </c>
      <c r="M62" s="36">
        <v>3</v>
      </c>
      <c r="N62" s="37">
        <v>78500000</v>
      </c>
      <c r="O62" s="37">
        <v>77500000</v>
      </c>
      <c r="P62" s="37">
        <v>78000000</v>
      </c>
      <c r="Q62" s="36" t="s">
        <v>29</v>
      </c>
      <c r="R62" s="36" t="s">
        <v>29</v>
      </c>
      <c r="S62" s="36" t="s">
        <v>29</v>
      </c>
      <c r="T62" s="36" t="s">
        <v>29</v>
      </c>
      <c r="U62" s="36" t="s">
        <v>29</v>
      </c>
      <c r="V62" s="55">
        <v>45491</v>
      </c>
      <c r="W62" s="39">
        <v>78000000</v>
      </c>
      <c r="X62" s="36" t="s">
        <v>34</v>
      </c>
      <c r="Y62" s="36" t="s">
        <v>34</v>
      </c>
      <c r="Z62" s="37">
        <v>500000</v>
      </c>
      <c r="AA62" s="40" t="s">
        <v>155</v>
      </c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43"/>
      <c r="BC62" s="43"/>
    </row>
    <row r="63" spans="1:75" x14ac:dyDescent="0.25">
      <c r="A63" s="76" t="s">
        <v>30</v>
      </c>
      <c r="B63" s="34" t="s">
        <v>156</v>
      </c>
      <c r="C63" s="34" t="s">
        <v>32</v>
      </c>
      <c r="D63" s="34" t="s">
        <v>154</v>
      </c>
      <c r="E63" s="34" t="s">
        <v>27</v>
      </c>
      <c r="F63" s="34" t="s">
        <v>27</v>
      </c>
      <c r="G63" s="34"/>
      <c r="H63" s="34" t="s">
        <v>27</v>
      </c>
      <c r="I63" s="35">
        <v>78000000</v>
      </c>
      <c r="J63" s="36" t="s">
        <v>34</v>
      </c>
      <c r="K63" s="36">
        <v>1</v>
      </c>
      <c r="L63" s="36" t="s">
        <v>34</v>
      </c>
      <c r="M63" s="36">
        <v>3</v>
      </c>
      <c r="N63" s="37">
        <v>78500000</v>
      </c>
      <c r="O63" s="37">
        <v>77500000</v>
      </c>
      <c r="P63" s="37">
        <v>78000000</v>
      </c>
      <c r="Q63" s="36" t="s">
        <v>29</v>
      </c>
      <c r="R63" s="36" t="s">
        <v>29</v>
      </c>
      <c r="S63" s="36" t="s">
        <v>29</v>
      </c>
      <c r="T63" s="36" t="s">
        <v>29</v>
      </c>
      <c r="U63" s="36" t="s">
        <v>29</v>
      </c>
      <c r="V63" s="55">
        <v>45491</v>
      </c>
      <c r="W63" s="39">
        <v>78000000</v>
      </c>
      <c r="X63" s="36" t="s">
        <v>34</v>
      </c>
      <c r="Y63" s="36" t="s">
        <v>34</v>
      </c>
      <c r="Z63" s="37">
        <v>500000</v>
      </c>
      <c r="AA63" s="40" t="s">
        <v>155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</row>
    <row r="64" spans="1:75" x14ac:dyDescent="0.25">
      <c r="A64" s="76" t="s">
        <v>30</v>
      </c>
      <c r="B64" s="34" t="s">
        <v>157</v>
      </c>
      <c r="C64" s="34" t="s">
        <v>32</v>
      </c>
      <c r="D64" s="34" t="s">
        <v>158</v>
      </c>
      <c r="E64" s="34" t="s">
        <v>27</v>
      </c>
      <c r="F64" s="34" t="s">
        <v>27</v>
      </c>
      <c r="G64" s="34"/>
      <c r="H64" s="34" t="s">
        <v>27</v>
      </c>
      <c r="I64" s="35">
        <v>592470900</v>
      </c>
      <c r="J64" s="36" t="s">
        <v>34</v>
      </c>
      <c r="K64" s="36">
        <v>2</v>
      </c>
      <c r="L64" s="36" t="s">
        <v>34</v>
      </c>
      <c r="M64" s="36">
        <v>3</v>
      </c>
      <c r="N64" s="36">
        <v>768122400</v>
      </c>
      <c r="O64" s="36">
        <v>744197400</v>
      </c>
      <c r="P64" s="36">
        <v>592470900</v>
      </c>
      <c r="Q64" s="36" t="s">
        <v>29</v>
      </c>
      <c r="R64" s="36" t="s">
        <v>29</v>
      </c>
      <c r="S64" s="36" t="s">
        <v>29</v>
      </c>
      <c r="T64" s="36" t="s">
        <v>29</v>
      </c>
      <c r="U64" s="36" t="s">
        <v>29</v>
      </c>
      <c r="V64" s="55">
        <v>45491</v>
      </c>
      <c r="W64" s="39">
        <v>701596900</v>
      </c>
      <c r="X64" s="36" t="s">
        <v>34</v>
      </c>
      <c r="Y64" s="36" t="s">
        <v>34</v>
      </c>
      <c r="Z64" s="37">
        <v>95259982.75</v>
      </c>
      <c r="AA64" s="40" t="s">
        <v>159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</row>
    <row r="65" spans="1:55" x14ac:dyDescent="0.25">
      <c r="A65" s="76" t="s">
        <v>24</v>
      </c>
      <c r="B65" s="34" t="s">
        <v>160</v>
      </c>
      <c r="C65" s="34" t="s">
        <v>25</v>
      </c>
      <c r="D65" s="34" t="s">
        <v>161</v>
      </c>
      <c r="E65" s="34" t="s">
        <v>27</v>
      </c>
      <c r="F65" s="34" t="s">
        <v>27</v>
      </c>
      <c r="G65" s="34"/>
      <c r="H65" s="34" t="s">
        <v>27</v>
      </c>
      <c r="I65" s="35">
        <v>176886938</v>
      </c>
      <c r="J65" s="36" t="s">
        <v>34</v>
      </c>
      <c r="K65" s="36">
        <v>1</v>
      </c>
      <c r="L65" s="36">
        <v>6</v>
      </c>
      <c r="M65" s="36">
        <v>2</v>
      </c>
      <c r="N65" s="37">
        <v>176886938</v>
      </c>
      <c r="O65" s="37">
        <v>235826252.78</v>
      </c>
      <c r="P65" s="36" t="s">
        <v>29</v>
      </c>
      <c r="Q65" s="36" t="s">
        <v>29</v>
      </c>
      <c r="R65" s="36" t="s">
        <v>29</v>
      </c>
      <c r="S65" s="36" t="s">
        <v>29</v>
      </c>
      <c r="T65" s="36" t="s">
        <v>29</v>
      </c>
      <c r="U65" s="36" t="s">
        <v>29</v>
      </c>
      <c r="V65" s="38">
        <v>45468</v>
      </c>
      <c r="W65" s="36" t="s">
        <v>34</v>
      </c>
      <c r="X65" s="36" t="s">
        <v>34</v>
      </c>
      <c r="Y65" s="36" t="s">
        <v>34</v>
      </c>
      <c r="Z65" s="36" t="s">
        <v>34</v>
      </c>
      <c r="AA65" s="36" t="s">
        <v>34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</row>
    <row r="66" spans="1:55" x14ac:dyDescent="0.25">
      <c r="A66" s="76" t="s">
        <v>30</v>
      </c>
      <c r="B66" s="34" t="s">
        <v>162</v>
      </c>
      <c r="C66" s="34" t="s">
        <v>32</v>
      </c>
      <c r="D66" s="34" t="s">
        <v>145</v>
      </c>
      <c r="E66" s="34" t="s">
        <v>27</v>
      </c>
      <c r="F66" s="34" t="s">
        <v>27</v>
      </c>
      <c r="G66" s="34"/>
      <c r="H66" s="34" t="s">
        <v>27</v>
      </c>
      <c r="I66" s="35">
        <v>900940078.96000004</v>
      </c>
      <c r="J66" s="36" t="s">
        <v>34</v>
      </c>
      <c r="K66" s="36">
        <v>1</v>
      </c>
      <c r="L66" s="36">
        <v>11</v>
      </c>
      <c r="M66" s="36">
        <v>3</v>
      </c>
      <c r="N66" s="36" t="s">
        <v>125</v>
      </c>
      <c r="O66" s="37">
        <v>1380986452</v>
      </c>
      <c r="P66" s="37">
        <v>900940078.96000004</v>
      </c>
      <c r="Q66" s="36" t="s">
        <v>29</v>
      </c>
      <c r="R66" s="36" t="s">
        <v>29</v>
      </c>
      <c r="S66" s="36" t="s">
        <v>29</v>
      </c>
      <c r="T66" s="36" t="s">
        <v>29</v>
      </c>
      <c r="U66" s="36" t="s">
        <v>29</v>
      </c>
      <c r="V66" s="38">
        <v>45461</v>
      </c>
      <c r="W66" s="56">
        <v>4190074.5389999999</v>
      </c>
      <c r="X66" s="36" t="s">
        <v>34</v>
      </c>
      <c r="Y66" s="36" t="s">
        <v>34</v>
      </c>
      <c r="Z66" s="36" t="s">
        <v>34</v>
      </c>
      <c r="AA66" s="40" t="s">
        <v>146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</row>
    <row r="67" spans="1:55" x14ac:dyDescent="0.25">
      <c r="A67" s="76" t="s">
        <v>30</v>
      </c>
      <c r="B67" s="34" t="s">
        <v>163</v>
      </c>
      <c r="C67" s="34" t="s">
        <v>32</v>
      </c>
      <c r="D67" s="34" t="s">
        <v>150</v>
      </c>
      <c r="E67" s="34" t="s">
        <v>27</v>
      </c>
      <c r="F67" s="34" t="s">
        <v>27</v>
      </c>
      <c r="G67" s="34"/>
      <c r="H67" s="34" t="s">
        <v>27</v>
      </c>
      <c r="I67" s="35">
        <v>776848942.96000004</v>
      </c>
      <c r="J67" s="36" t="s">
        <v>151</v>
      </c>
      <c r="K67" s="36">
        <v>1</v>
      </c>
      <c r="L67" s="36">
        <v>3</v>
      </c>
      <c r="M67" s="36">
        <v>3</v>
      </c>
      <c r="N67" s="37">
        <v>776848942.96000004</v>
      </c>
      <c r="O67" s="37">
        <v>1078965432</v>
      </c>
      <c r="P67" s="37">
        <v>1177896650</v>
      </c>
      <c r="Q67" s="36" t="s">
        <v>29</v>
      </c>
      <c r="R67" s="36" t="s">
        <v>29</v>
      </c>
      <c r="S67" s="36" t="s">
        <v>29</v>
      </c>
      <c r="T67" s="36" t="s">
        <v>29</v>
      </c>
      <c r="U67" s="36" t="s">
        <v>29</v>
      </c>
      <c r="V67" s="36" t="s">
        <v>34</v>
      </c>
      <c r="W67" s="36" t="s">
        <v>34</v>
      </c>
      <c r="X67" s="36" t="s">
        <v>34</v>
      </c>
      <c r="Y67" s="36" t="s">
        <v>34</v>
      </c>
      <c r="Z67" s="37">
        <v>208926231.86000001</v>
      </c>
      <c r="AA67" s="40" t="s">
        <v>152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</row>
    <row r="68" spans="1:55" x14ac:dyDescent="0.25">
      <c r="A68" s="76" t="s">
        <v>30</v>
      </c>
      <c r="B68" s="34" t="s">
        <v>164</v>
      </c>
      <c r="C68" s="34" t="s">
        <v>32</v>
      </c>
      <c r="D68" s="34" t="s">
        <v>165</v>
      </c>
      <c r="E68" s="34" t="s">
        <v>27</v>
      </c>
      <c r="F68" s="34" t="s">
        <v>27</v>
      </c>
      <c r="G68" s="34"/>
      <c r="H68" s="34" t="s">
        <v>27</v>
      </c>
      <c r="I68" s="35">
        <v>942129766.96000004</v>
      </c>
      <c r="J68" s="36" t="s">
        <v>34</v>
      </c>
      <c r="K68" s="36" t="s">
        <v>34</v>
      </c>
      <c r="L68" s="36" t="s">
        <v>34</v>
      </c>
      <c r="M68" s="36">
        <v>3</v>
      </c>
      <c r="N68" s="37">
        <v>1300896000</v>
      </c>
      <c r="O68" s="37">
        <v>942129766.96000004</v>
      </c>
      <c r="P68" s="37">
        <v>1350897450</v>
      </c>
      <c r="Q68" s="36" t="s">
        <v>29</v>
      </c>
      <c r="R68" s="36" t="s">
        <v>29</v>
      </c>
      <c r="S68" s="36" t="s">
        <v>29</v>
      </c>
      <c r="T68" s="36" t="s">
        <v>29</v>
      </c>
      <c r="U68" s="36" t="s">
        <v>29</v>
      </c>
      <c r="V68" s="38">
        <v>45460</v>
      </c>
      <c r="W68" s="39">
        <v>1197974405.6500001</v>
      </c>
      <c r="X68" s="36" t="s">
        <v>34</v>
      </c>
      <c r="Y68" s="36" t="s">
        <v>34</v>
      </c>
      <c r="Z68" s="37">
        <v>222973979.66999999</v>
      </c>
      <c r="AA68" s="36" t="s">
        <v>34</v>
      </c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43"/>
      <c r="BC68" s="43"/>
    </row>
    <row r="69" spans="1:55" x14ac:dyDescent="0.25">
      <c r="A69" s="76" t="s">
        <v>30</v>
      </c>
      <c r="B69" s="34" t="s">
        <v>166</v>
      </c>
      <c r="C69" s="34" t="s">
        <v>32</v>
      </c>
      <c r="D69" s="34" t="s">
        <v>150</v>
      </c>
      <c r="E69" s="34" t="s">
        <v>27</v>
      </c>
      <c r="F69" s="34" t="s">
        <v>27</v>
      </c>
      <c r="G69" s="34"/>
      <c r="H69" s="34" t="s">
        <v>27</v>
      </c>
      <c r="I69" s="35">
        <v>781051438.96000004</v>
      </c>
      <c r="J69" s="36" t="s">
        <v>151</v>
      </c>
      <c r="K69" s="36">
        <v>1</v>
      </c>
      <c r="L69" s="36" t="s">
        <v>34</v>
      </c>
      <c r="M69" s="36">
        <v>3</v>
      </c>
      <c r="N69" s="37">
        <v>781051438.96000004</v>
      </c>
      <c r="O69" s="37">
        <v>1180685900</v>
      </c>
      <c r="P69" s="37">
        <v>1250789500</v>
      </c>
      <c r="Q69" s="36" t="s">
        <v>29</v>
      </c>
      <c r="R69" s="36" t="s">
        <v>29</v>
      </c>
      <c r="S69" s="36" t="s">
        <v>29</v>
      </c>
      <c r="T69" s="36" t="s">
        <v>29</v>
      </c>
      <c r="U69" s="36" t="s">
        <v>29</v>
      </c>
      <c r="V69" s="38">
        <v>45427</v>
      </c>
      <c r="W69" s="39">
        <v>1070842279.65</v>
      </c>
      <c r="X69" s="36" t="s">
        <v>34</v>
      </c>
      <c r="Y69" s="36" t="s">
        <v>34</v>
      </c>
      <c r="Z69" s="37">
        <v>253402204.40000001</v>
      </c>
      <c r="AA69" s="40" t="s">
        <v>167</v>
      </c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43"/>
      <c r="BC69" s="43"/>
    </row>
    <row r="70" spans="1:55" x14ac:dyDescent="0.25">
      <c r="A70" s="76" t="s">
        <v>30</v>
      </c>
      <c r="B70" s="34" t="s">
        <v>168</v>
      </c>
      <c r="C70" s="34" t="s">
        <v>32</v>
      </c>
      <c r="D70" s="34" t="s">
        <v>66</v>
      </c>
      <c r="E70" s="34" t="s">
        <v>27</v>
      </c>
      <c r="F70" s="34" t="s">
        <v>27</v>
      </c>
      <c r="G70" s="34"/>
      <c r="H70" s="34" t="s">
        <v>27</v>
      </c>
      <c r="I70" s="35">
        <v>943840211.85000002</v>
      </c>
      <c r="J70" s="36" t="s">
        <v>34</v>
      </c>
      <c r="K70" s="36" t="s">
        <v>34</v>
      </c>
      <c r="L70" s="36" t="s">
        <v>34</v>
      </c>
      <c r="M70" s="36">
        <v>3</v>
      </c>
      <c r="N70" s="37">
        <v>943840211.85000002</v>
      </c>
      <c r="O70" s="37">
        <v>1380986452</v>
      </c>
      <c r="P70" s="37">
        <v>1450896500</v>
      </c>
      <c r="Q70" s="36" t="s">
        <v>29</v>
      </c>
      <c r="R70" s="36" t="s">
        <v>29</v>
      </c>
      <c r="S70" s="36" t="s">
        <v>29</v>
      </c>
      <c r="T70" s="36" t="s">
        <v>29</v>
      </c>
      <c r="U70" s="36" t="s">
        <v>29</v>
      </c>
      <c r="V70" s="38">
        <v>45427</v>
      </c>
      <c r="W70" s="39">
        <v>1258574387.95</v>
      </c>
      <c r="X70" s="36" t="s">
        <v>34</v>
      </c>
      <c r="Y70" s="36" t="s">
        <v>34</v>
      </c>
      <c r="Z70" s="37">
        <v>274800027.12</v>
      </c>
      <c r="AA70" s="40" t="s">
        <v>169</v>
      </c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43"/>
      <c r="BC70" s="43"/>
    </row>
    <row r="71" spans="1:55" x14ac:dyDescent="0.25">
      <c r="A71" s="76" t="s">
        <v>30</v>
      </c>
      <c r="B71" s="34" t="s">
        <v>170</v>
      </c>
      <c r="C71" s="34" t="s">
        <v>32</v>
      </c>
      <c r="D71" s="34" t="s">
        <v>87</v>
      </c>
      <c r="E71" s="34" t="s">
        <v>27</v>
      </c>
      <c r="F71" s="34" t="s">
        <v>27</v>
      </c>
      <c r="G71" s="34"/>
      <c r="H71" s="34" t="s">
        <v>27</v>
      </c>
      <c r="I71" s="35">
        <v>94500000</v>
      </c>
      <c r="J71" s="36" t="s">
        <v>34</v>
      </c>
      <c r="K71" s="36">
        <v>1</v>
      </c>
      <c r="L71" s="36" t="s">
        <v>34</v>
      </c>
      <c r="M71" s="36">
        <v>3</v>
      </c>
      <c r="N71" s="37">
        <v>96305000</v>
      </c>
      <c r="O71" s="37">
        <v>94500000</v>
      </c>
      <c r="P71" s="37">
        <v>98468000</v>
      </c>
      <c r="Q71" s="36" t="s">
        <v>29</v>
      </c>
      <c r="R71" s="36" t="s">
        <v>29</v>
      </c>
      <c r="S71" s="36" t="s">
        <v>29</v>
      </c>
      <c r="T71" s="36" t="s">
        <v>29</v>
      </c>
      <c r="U71" s="36" t="s">
        <v>29</v>
      </c>
      <c r="V71" s="36" t="s">
        <v>34</v>
      </c>
      <c r="W71" s="39">
        <v>96424333.329999998</v>
      </c>
      <c r="X71" s="36" t="s">
        <v>34</v>
      </c>
      <c r="Y71" s="36" t="s">
        <v>34</v>
      </c>
      <c r="Z71" s="36" t="s">
        <v>34</v>
      </c>
      <c r="AA71" s="40" t="s">
        <v>171</v>
      </c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43"/>
      <c r="BC71" s="43"/>
    </row>
    <row r="72" spans="1:55" x14ac:dyDescent="0.25">
      <c r="A72" s="76" t="s">
        <v>30</v>
      </c>
      <c r="B72" s="34" t="s">
        <v>172</v>
      </c>
      <c r="C72" s="34" t="s">
        <v>32</v>
      </c>
      <c r="D72" s="34" t="s">
        <v>52</v>
      </c>
      <c r="E72" s="34" t="s">
        <v>27</v>
      </c>
      <c r="F72" s="34" t="s">
        <v>27</v>
      </c>
      <c r="G72" s="34"/>
      <c r="H72" s="34" t="s">
        <v>27</v>
      </c>
      <c r="I72" s="35">
        <v>575168909</v>
      </c>
      <c r="J72" s="36" t="s">
        <v>34</v>
      </c>
      <c r="K72" s="36">
        <v>1</v>
      </c>
      <c r="L72" s="36" t="s">
        <v>34</v>
      </c>
      <c r="M72" s="36">
        <v>2</v>
      </c>
      <c r="N72" s="37">
        <v>690201205.79999995</v>
      </c>
      <c r="O72" s="37">
        <v>759221325</v>
      </c>
      <c r="P72" s="36" t="s">
        <v>29</v>
      </c>
      <c r="Q72" s="36" t="s">
        <v>29</v>
      </c>
      <c r="R72" s="36" t="s">
        <v>29</v>
      </c>
      <c r="S72" s="36" t="s">
        <v>29</v>
      </c>
      <c r="T72" s="36" t="s">
        <v>29</v>
      </c>
      <c r="U72" s="36" t="s">
        <v>29</v>
      </c>
      <c r="V72" s="36" t="s">
        <v>34</v>
      </c>
      <c r="W72" s="39">
        <v>724711265.39999998</v>
      </c>
      <c r="X72" s="36" t="s">
        <v>34</v>
      </c>
      <c r="Y72" s="36" t="s">
        <v>34</v>
      </c>
      <c r="Z72" s="36" t="s">
        <v>34</v>
      </c>
      <c r="AA72" s="36" t="s">
        <v>34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43"/>
      <c r="BC72" s="43"/>
    </row>
    <row r="73" spans="1:55" x14ac:dyDescent="0.25">
      <c r="A73" s="76" t="s">
        <v>24</v>
      </c>
      <c r="B73" s="34" t="s">
        <v>173</v>
      </c>
      <c r="C73" s="34" t="s">
        <v>25</v>
      </c>
      <c r="D73" s="34" t="s">
        <v>174</v>
      </c>
      <c r="E73" s="34" t="s">
        <v>27</v>
      </c>
      <c r="F73" s="34" t="s">
        <v>27</v>
      </c>
      <c r="G73" s="34"/>
      <c r="H73" s="34" t="s">
        <v>27</v>
      </c>
      <c r="I73" s="35">
        <v>167079950</v>
      </c>
      <c r="J73" s="36" t="s">
        <v>34</v>
      </c>
      <c r="K73" s="36">
        <v>2</v>
      </c>
      <c r="L73" s="36" t="s">
        <v>34</v>
      </c>
      <c r="M73" s="36">
        <v>3</v>
      </c>
      <c r="N73" s="37">
        <v>167760200</v>
      </c>
      <c r="O73" s="37">
        <v>168220300</v>
      </c>
      <c r="P73" s="37">
        <v>165259350</v>
      </c>
      <c r="Q73" s="36" t="s">
        <v>29</v>
      </c>
      <c r="R73" s="36" t="s">
        <v>29</v>
      </c>
      <c r="S73" s="36" t="s">
        <v>29</v>
      </c>
      <c r="T73" s="36" t="s">
        <v>29</v>
      </c>
      <c r="U73" s="36" t="s">
        <v>29</v>
      </c>
      <c r="V73" s="36" t="s">
        <v>34</v>
      </c>
      <c r="W73" s="36" t="s">
        <v>34</v>
      </c>
      <c r="X73" s="36" t="s">
        <v>34</v>
      </c>
      <c r="Y73" s="36" t="s">
        <v>34</v>
      </c>
      <c r="Z73" s="36">
        <v>1593380.4543999999</v>
      </c>
      <c r="AA73" s="40" t="s">
        <v>175</v>
      </c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43"/>
      <c r="BC73" s="34"/>
    </row>
    <row r="74" spans="1:55" x14ac:dyDescent="0.25">
      <c r="A74" s="76" t="s">
        <v>24</v>
      </c>
      <c r="B74" s="44" t="s">
        <v>176</v>
      </c>
      <c r="C74" s="34" t="s">
        <v>177</v>
      </c>
      <c r="D74" s="34" t="s">
        <v>178</v>
      </c>
      <c r="E74" s="34" t="s">
        <v>27</v>
      </c>
      <c r="F74" s="34" t="s">
        <v>27</v>
      </c>
      <c r="G74" s="34"/>
      <c r="H74" s="34" t="s">
        <v>27</v>
      </c>
      <c r="I74" s="35">
        <v>53250000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43"/>
      <c r="BC74" s="34"/>
    </row>
    <row r="75" spans="1:55" x14ac:dyDescent="0.25">
      <c r="A75" s="76" t="s">
        <v>24</v>
      </c>
      <c r="B75" s="44" t="s">
        <v>179</v>
      </c>
      <c r="C75" s="34" t="s">
        <v>177</v>
      </c>
      <c r="D75" s="34" t="s">
        <v>180</v>
      </c>
      <c r="E75" s="34" t="s">
        <v>27</v>
      </c>
      <c r="F75" s="34" t="s">
        <v>27</v>
      </c>
      <c r="G75" s="34"/>
      <c r="H75" s="34" t="s">
        <v>27</v>
      </c>
      <c r="I75" s="35">
        <v>95000</v>
      </c>
      <c r="J75" s="36" t="s">
        <v>181</v>
      </c>
      <c r="K75" s="36">
        <v>1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43"/>
      <c r="BC75" s="34"/>
    </row>
    <row r="76" spans="1:55" x14ac:dyDescent="0.25">
      <c r="A76" s="76" t="s">
        <v>30</v>
      </c>
      <c r="B76" s="34" t="s">
        <v>182</v>
      </c>
      <c r="C76" s="34" t="s">
        <v>183</v>
      </c>
      <c r="D76" s="34" t="s">
        <v>174</v>
      </c>
      <c r="E76" s="34" t="s">
        <v>27</v>
      </c>
      <c r="F76" s="34" t="s">
        <v>27</v>
      </c>
      <c r="G76" s="34"/>
      <c r="H76" s="34" t="s">
        <v>27</v>
      </c>
      <c r="I76" s="35">
        <v>167079950</v>
      </c>
      <c r="J76" s="36" t="s">
        <v>34</v>
      </c>
      <c r="K76" s="36">
        <v>2</v>
      </c>
      <c r="L76" s="36" t="s">
        <v>34</v>
      </c>
      <c r="M76" s="36">
        <v>3</v>
      </c>
      <c r="N76" s="37">
        <v>167760200</v>
      </c>
      <c r="O76" s="37">
        <v>168220300</v>
      </c>
      <c r="P76" s="37">
        <v>165259350</v>
      </c>
      <c r="Q76" s="36" t="s">
        <v>29</v>
      </c>
      <c r="R76" s="36" t="s">
        <v>29</v>
      </c>
      <c r="S76" s="36" t="s">
        <v>29</v>
      </c>
      <c r="T76" s="36" t="s">
        <v>29</v>
      </c>
      <c r="U76" s="36" t="s">
        <v>29</v>
      </c>
      <c r="V76" s="36" t="s">
        <v>34</v>
      </c>
      <c r="W76" s="36" t="s">
        <v>34</v>
      </c>
      <c r="X76" s="36" t="s">
        <v>34</v>
      </c>
      <c r="Y76" s="36" t="s">
        <v>34</v>
      </c>
      <c r="Z76" s="36">
        <v>1593380.4543999999</v>
      </c>
      <c r="AA76" s="40" t="s">
        <v>175</v>
      </c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</row>
    <row r="77" spans="1:55" x14ac:dyDescent="0.25">
      <c r="A77" s="76" t="s">
        <v>24</v>
      </c>
      <c r="B77" s="34" t="s">
        <v>184</v>
      </c>
      <c r="C77" s="34" t="s">
        <v>25</v>
      </c>
      <c r="D77" s="34" t="s">
        <v>185</v>
      </c>
      <c r="E77" s="34" t="s">
        <v>27</v>
      </c>
      <c r="F77" s="34" t="s">
        <v>27</v>
      </c>
      <c r="G77" s="34"/>
      <c r="H77" s="34" t="s">
        <v>27</v>
      </c>
      <c r="I77" s="35">
        <v>10100000</v>
      </c>
      <c r="J77" s="36" t="s">
        <v>34</v>
      </c>
      <c r="K77" s="36">
        <v>2</v>
      </c>
      <c r="L77" s="36" t="s">
        <v>34</v>
      </c>
      <c r="M77" s="36">
        <v>3</v>
      </c>
      <c r="N77" s="41">
        <v>4260813000</v>
      </c>
      <c r="O77" s="41">
        <v>4639486000</v>
      </c>
      <c r="P77" s="41">
        <v>928458660</v>
      </c>
      <c r="Q77" s="36" t="s">
        <v>29</v>
      </c>
      <c r="R77" s="36" t="s">
        <v>29</v>
      </c>
      <c r="S77" s="36" t="s">
        <v>29</v>
      </c>
      <c r="T77" s="36" t="s">
        <v>29</v>
      </c>
      <c r="U77" s="36" t="s">
        <v>29</v>
      </c>
      <c r="V77" s="38">
        <v>45240</v>
      </c>
      <c r="W77" s="36" t="s">
        <v>34</v>
      </c>
      <c r="X77" s="36" t="s">
        <v>34</v>
      </c>
      <c r="Y77" s="36" t="s">
        <v>34</v>
      </c>
      <c r="Z77" s="36" t="s">
        <v>34</v>
      </c>
      <c r="AA77" s="36" t="s">
        <v>34</v>
      </c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</row>
    <row r="78" spans="1:55" x14ac:dyDescent="0.25">
      <c r="A78" s="76" t="s">
        <v>30</v>
      </c>
      <c r="B78" s="34" t="s">
        <v>186</v>
      </c>
      <c r="C78" s="34" t="s">
        <v>32</v>
      </c>
      <c r="D78" s="34" t="s">
        <v>52</v>
      </c>
      <c r="E78" s="34" t="s">
        <v>27</v>
      </c>
      <c r="F78" s="34" t="s">
        <v>27</v>
      </c>
      <c r="G78" s="34"/>
      <c r="H78" s="34" t="s">
        <v>27</v>
      </c>
      <c r="I78" s="35">
        <v>575168909</v>
      </c>
      <c r="J78" s="36" t="s">
        <v>34</v>
      </c>
      <c r="K78" s="36">
        <v>1</v>
      </c>
      <c r="L78" s="36" t="s">
        <v>34</v>
      </c>
      <c r="M78" s="36">
        <v>2</v>
      </c>
      <c r="N78" s="37">
        <v>575168909</v>
      </c>
      <c r="O78" s="37">
        <v>690201205.79999995</v>
      </c>
      <c r="P78" s="36" t="s">
        <v>29</v>
      </c>
      <c r="Q78" s="36" t="s">
        <v>29</v>
      </c>
      <c r="R78" s="36" t="s">
        <v>29</v>
      </c>
      <c r="S78" s="36" t="s">
        <v>29</v>
      </c>
      <c r="T78" s="36" t="s">
        <v>29</v>
      </c>
      <c r="U78" s="36" t="s">
        <v>29</v>
      </c>
      <c r="V78" s="36" t="s">
        <v>34</v>
      </c>
      <c r="W78" s="39" t="s">
        <v>187</v>
      </c>
      <c r="X78" s="36" t="s">
        <v>34</v>
      </c>
      <c r="Y78" s="36" t="s">
        <v>34</v>
      </c>
      <c r="Z78" s="36" t="s">
        <v>34</v>
      </c>
      <c r="AA78" s="36" t="s">
        <v>34</v>
      </c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</row>
    <row r="79" spans="1:55" x14ac:dyDescent="0.25">
      <c r="A79" s="76" t="s">
        <v>30</v>
      </c>
      <c r="B79" s="34" t="s">
        <v>188</v>
      </c>
      <c r="C79" s="34" t="s">
        <v>32</v>
      </c>
      <c r="D79" s="34" t="s">
        <v>117</v>
      </c>
      <c r="E79" s="34" t="s">
        <v>27</v>
      </c>
      <c r="F79" s="34" t="s">
        <v>27</v>
      </c>
      <c r="G79" s="34"/>
      <c r="H79" s="34" t="s">
        <v>27</v>
      </c>
      <c r="I79" s="35">
        <v>160000000</v>
      </c>
      <c r="J79" s="36" t="s">
        <v>34</v>
      </c>
      <c r="K79" s="36">
        <v>1</v>
      </c>
      <c r="L79" s="36" t="s">
        <v>34</v>
      </c>
      <c r="M79" s="36">
        <v>3</v>
      </c>
      <c r="N79" s="36">
        <v>160000000</v>
      </c>
      <c r="O79" s="36">
        <v>157000000</v>
      </c>
      <c r="P79" s="36">
        <v>163000000</v>
      </c>
      <c r="Q79" s="36" t="s">
        <v>29</v>
      </c>
      <c r="R79" s="36" t="s">
        <v>29</v>
      </c>
      <c r="S79" s="36" t="s">
        <v>29</v>
      </c>
      <c r="T79" s="36" t="s">
        <v>29</v>
      </c>
      <c r="U79" s="36" t="s">
        <v>29</v>
      </c>
      <c r="V79" s="36" t="s">
        <v>34</v>
      </c>
      <c r="W79" s="39">
        <v>160000000</v>
      </c>
      <c r="X79" s="36" t="s">
        <v>34</v>
      </c>
      <c r="Y79" s="36" t="s">
        <v>34</v>
      </c>
      <c r="Z79" s="36" t="s">
        <v>34</v>
      </c>
      <c r="AA79" s="40" t="s">
        <v>189</v>
      </c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43"/>
      <c r="BC79" s="43"/>
    </row>
    <row r="80" spans="1:55" x14ac:dyDescent="0.25">
      <c r="A80" s="76" t="s">
        <v>30</v>
      </c>
      <c r="B80" s="34" t="s">
        <v>190</v>
      </c>
      <c r="C80" s="34" t="s">
        <v>32</v>
      </c>
      <c r="D80" s="34" t="s">
        <v>117</v>
      </c>
      <c r="E80" s="34" t="s">
        <v>27</v>
      </c>
      <c r="F80" s="34" t="s">
        <v>27</v>
      </c>
      <c r="G80" s="34"/>
      <c r="H80" s="34" t="s">
        <v>27</v>
      </c>
      <c r="I80" s="35">
        <v>160000000</v>
      </c>
      <c r="J80" s="36" t="s">
        <v>34</v>
      </c>
      <c r="K80" s="36">
        <v>1</v>
      </c>
      <c r="L80" s="36" t="s">
        <v>34</v>
      </c>
      <c r="M80" s="36">
        <v>3</v>
      </c>
      <c r="N80" s="36">
        <v>160000000</v>
      </c>
      <c r="O80" s="36">
        <v>157000000</v>
      </c>
      <c r="P80" s="36">
        <v>163000000</v>
      </c>
      <c r="Q80" s="36" t="s">
        <v>29</v>
      </c>
      <c r="R80" s="36" t="s">
        <v>29</v>
      </c>
      <c r="S80" s="36" t="s">
        <v>29</v>
      </c>
      <c r="T80" s="36" t="s">
        <v>29</v>
      </c>
      <c r="U80" s="36" t="s">
        <v>29</v>
      </c>
      <c r="V80" s="36" t="s">
        <v>34</v>
      </c>
      <c r="W80" s="39">
        <v>160000000</v>
      </c>
      <c r="X80" s="36" t="s">
        <v>34</v>
      </c>
      <c r="Y80" s="36" t="s">
        <v>34</v>
      </c>
      <c r="Z80" s="36" t="s">
        <v>34</v>
      </c>
      <c r="AA80" s="40" t="s">
        <v>189</v>
      </c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43"/>
      <c r="BC80" s="43"/>
    </row>
    <row r="81" spans="1:55" x14ac:dyDescent="0.25">
      <c r="A81" s="76" t="s">
        <v>24</v>
      </c>
      <c r="B81" s="44" t="s">
        <v>191</v>
      </c>
      <c r="C81" s="34" t="s">
        <v>177</v>
      </c>
      <c r="D81" s="34" t="s">
        <v>192</v>
      </c>
      <c r="E81" s="34" t="s">
        <v>27</v>
      </c>
      <c r="F81" s="34" t="s">
        <v>27</v>
      </c>
      <c r="G81" s="34"/>
      <c r="H81" s="34" t="s">
        <v>27</v>
      </c>
      <c r="I81" s="35">
        <v>54621160</v>
      </c>
      <c r="J81" s="36"/>
      <c r="K81" s="36">
        <v>1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8"/>
      <c r="W81" s="39"/>
      <c r="X81" s="36"/>
      <c r="Y81" s="36"/>
      <c r="Z81" s="36"/>
      <c r="AA81" s="40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</row>
    <row r="83" spans="1:55" x14ac:dyDescent="0.25">
      <c r="A83" s="75">
        <v>2023</v>
      </c>
    </row>
    <row r="84" spans="1:55" x14ac:dyDescent="0.25">
      <c r="A84" s="73" t="s">
        <v>24</v>
      </c>
      <c r="B84" s="57">
        <v>32313093685</v>
      </c>
      <c r="C84" s="11" t="s">
        <v>25</v>
      </c>
      <c r="D84" s="11" t="s">
        <v>197</v>
      </c>
      <c r="E84" s="11" t="s">
        <v>27</v>
      </c>
      <c r="F84" s="11" t="s">
        <v>27</v>
      </c>
      <c r="H84" s="11" t="s">
        <v>27</v>
      </c>
      <c r="I84" s="13">
        <v>2834000000</v>
      </c>
      <c r="J84" s="61"/>
      <c r="K84" s="61">
        <v>3</v>
      </c>
      <c r="L84" s="62"/>
      <c r="M84" s="61">
        <v>5</v>
      </c>
      <c r="N84" s="63">
        <v>3249000000</v>
      </c>
      <c r="O84" s="64">
        <v>2834000000</v>
      </c>
      <c r="P84" s="65">
        <v>3120000000</v>
      </c>
      <c r="Q84" s="65">
        <v>350000000</v>
      </c>
      <c r="R84" s="65">
        <v>5970000000</v>
      </c>
      <c r="S84" s="65"/>
      <c r="V84" s="66">
        <v>45209</v>
      </c>
      <c r="W84" s="67"/>
      <c r="X84" s="65"/>
      <c r="Y84" s="65"/>
      <c r="Z84" s="61"/>
      <c r="AA84" s="67"/>
      <c r="AZ84" s="68"/>
    </row>
    <row r="85" spans="1:55" x14ac:dyDescent="0.25">
      <c r="A85" s="73" t="s">
        <v>24</v>
      </c>
      <c r="B85" s="57">
        <v>32313005063</v>
      </c>
      <c r="C85" s="11" t="s">
        <v>25</v>
      </c>
      <c r="D85" s="11" t="s">
        <v>198</v>
      </c>
      <c r="E85" s="11" t="s">
        <v>27</v>
      </c>
      <c r="F85" s="11" t="s">
        <v>27</v>
      </c>
      <c r="H85" s="11" t="s">
        <v>27</v>
      </c>
      <c r="I85" s="13">
        <v>683974240</v>
      </c>
      <c r="J85" s="61"/>
      <c r="K85" s="61">
        <v>1</v>
      </c>
      <c r="L85" s="61">
        <v>1</v>
      </c>
      <c r="M85" s="61">
        <v>2</v>
      </c>
      <c r="N85" s="65">
        <v>683974240</v>
      </c>
      <c r="O85" s="65">
        <v>1250000000</v>
      </c>
      <c r="P85" s="61"/>
      <c r="Q85" s="61"/>
      <c r="R85" s="61"/>
      <c r="S85" s="61"/>
      <c r="V85" s="69">
        <v>45198</v>
      </c>
      <c r="W85" s="67"/>
      <c r="X85" s="61"/>
      <c r="Y85" s="61"/>
      <c r="Z85" s="61"/>
      <c r="AA85" s="67"/>
      <c r="AZ85" s="68"/>
    </row>
    <row r="86" spans="1:55" x14ac:dyDescent="0.25">
      <c r="A86" s="73" t="s">
        <v>24</v>
      </c>
      <c r="B86" s="57">
        <v>32312980196</v>
      </c>
      <c r="C86" s="11" t="s">
        <v>25</v>
      </c>
      <c r="D86" s="11" t="s">
        <v>199</v>
      </c>
      <c r="E86" s="11" t="s">
        <v>27</v>
      </c>
      <c r="F86" s="11" t="s">
        <v>27</v>
      </c>
      <c r="H86" s="11" t="s">
        <v>27</v>
      </c>
      <c r="I86" s="13">
        <v>176000000</v>
      </c>
      <c r="J86" s="61"/>
      <c r="K86" s="61">
        <v>1</v>
      </c>
      <c r="L86" s="61">
        <v>6</v>
      </c>
      <c r="M86" s="61">
        <v>1</v>
      </c>
      <c r="N86" s="58">
        <v>176000000</v>
      </c>
      <c r="O86" s="61"/>
      <c r="P86" s="61"/>
      <c r="Q86" s="61"/>
      <c r="R86" s="61"/>
      <c r="S86" s="61"/>
      <c r="V86" s="69">
        <v>45163</v>
      </c>
      <c r="W86" s="67"/>
      <c r="X86" s="61"/>
      <c r="Y86" s="61"/>
      <c r="Z86" s="61"/>
      <c r="AA86" s="67"/>
    </row>
    <row r="87" spans="1:55" x14ac:dyDescent="0.25">
      <c r="A87" s="73" t="s">
        <v>24</v>
      </c>
      <c r="B87" s="57">
        <v>32312934014</v>
      </c>
      <c r="C87" s="11" t="s">
        <v>25</v>
      </c>
      <c r="D87" s="11" t="s">
        <v>200</v>
      </c>
      <c r="E87" s="11" t="s">
        <v>27</v>
      </c>
      <c r="F87" s="11" t="s">
        <v>27</v>
      </c>
      <c r="H87" s="11" t="s">
        <v>27</v>
      </c>
      <c r="I87" s="13">
        <v>700000000</v>
      </c>
      <c r="J87" s="61"/>
      <c r="K87" s="61">
        <v>2</v>
      </c>
      <c r="L87" s="61"/>
      <c r="M87" s="61">
        <v>3</v>
      </c>
      <c r="N87" s="65">
        <v>700000000</v>
      </c>
      <c r="O87" s="65">
        <v>778000000</v>
      </c>
      <c r="P87" s="65">
        <v>772000000</v>
      </c>
      <c r="Q87" s="65"/>
      <c r="R87" s="65"/>
      <c r="S87" s="65"/>
      <c r="V87" s="69"/>
      <c r="W87" s="67"/>
      <c r="X87" s="61"/>
      <c r="Y87" s="61"/>
      <c r="Z87" s="61"/>
      <c r="AA87" s="67"/>
      <c r="AZ87" s="68"/>
    </row>
    <row r="88" spans="1:55" x14ac:dyDescent="0.25">
      <c r="A88" s="73" t="s">
        <v>24</v>
      </c>
      <c r="B88" s="57">
        <v>32312893410</v>
      </c>
      <c r="C88" s="11" t="s">
        <v>25</v>
      </c>
      <c r="D88" s="11" t="s">
        <v>201</v>
      </c>
      <c r="E88" s="11" t="s">
        <v>27</v>
      </c>
      <c r="F88" s="11" t="s">
        <v>27</v>
      </c>
      <c r="H88" s="11" t="s">
        <v>27</v>
      </c>
      <c r="I88" s="13">
        <v>176000000</v>
      </c>
      <c r="J88" s="61"/>
      <c r="K88" s="61">
        <v>1</v>
      </c>
      <c r="L88" s="61">
        <v>6</v>
      </c>
      <c r="M88" s="61">
        <v>1</v>
      </c>
      <c r="N88" s="65">
        <v>176000000</v>
      </c>
      <c r="O88" s="65"/>
      <c r="P88" s="65"/>
      <c r="Q88" s="65"/>
      <c r="R88" s="65"/>
      <c r="S88" s="65"/>
      <c r="V88" s="69">
        <v>45163</v>
      </c>
      <c r="W88" s="67"/>
      <c r="X88" s="61"/>
      <c r="Y88" s="61"/>
      <c r="Z88" s="61"/>
      <c r="AA88" s="67"/>
    </row>
    <row r="89" spans="1:55" x14ac:dyDescent="0.25">
      <c r="A89" s="73" t="s">
        <v>24</v>
      </c>
      <c r="B89" s="57">
        <v>32312806984</v>
      </c>
      <c r="C89" s="11" t="s">
        <v>25</v>
      </c>
      <c r="D89" s="11" t="s">
        <v>202</v>
      </c>
      <c r="E89" s="11" t="s">
        <v>27</v>
      </c>
      <c r="F89" s="11" t="s">
        <v>27</v>
      </c>
      <c r="H89" s="11" t="s">
        <v>27</v>
      </c>
      <c r="I89" s="13">
        <v>1193367420</v>
      </c>
      <c r="J89" s="61"/>
      <c r="K89" s="61">
        <v>2</v>
      </c>
      <c r="L89" s="61"/>
      <c r="M89" s="61">
        <v>1</v>
      </c>
      <c r="N89" s="65">
        <v>1193367420</v>
      </c>
      <c r="O89" s="65"/>
      <c r="P89" s="65"/>
      <c r="Q89" s="65"/>
      <c r="R89" s="65"/>
      <c r="S89" s="65"/>
      <c r="V89" s="69">
        <v>45169</v>
      </c>
      <c r="W89" s="67"/>
      <c r="X89" s="61"/>
      <c r="Y89" s="61"/>
      <c r="Z89" s="61"/>
      <c r="AA89" s="67"/>
      <c r="AZ89" s="68"/>
    </row>
    <row r="90" spans="1:55" x14ac:dyDescent="0.25">
      <c r="A90" s="73" t="s">
        <v>24</v>
      </c>
      <c r="B90" s="57">
        <v>32312783730</v>
      </c>
      <c r="C90" s="11" t="s">
        <v>25</v>
      </c>
      <c r="D90" s="11" t="s">
        <v>203</v>
      </c>
      <c r="E90" s="11" t="s">
        <v>27</v>
      </c>
      <c r="F90" s="11" t="s">
        <v>27</v>
      </c>
      <c r="H90" s="11" t="s">
        <v>27</v>
      </c>
      <c r="I90" s="13">
        <v>176000000</v>
      </c>
      <c r="J90" s="61"/>
      <c r="K90" s="61">
        <v>1</v>
      </c>
      <c r="L90" s="61">
        <v>6</v>
      </c>
      <c r="M90" s="61">
        <v>1</v>
      </c>
      <c r="N90" s="65">
        <v>176000000</v>
      </c>
      <c r="O90" s="65"/>
      <c r="P90" s="65"/>
      <c r="Q90" s="65"/>
      <c r="R90" s="65"/>
      <c r="S90" s="65"/>
      <c r="V90" s="69">
        <v>45163</v>
      </c>
      <c r="W90" s="67"/>
      <c r="X90" s="61"/>
      <c r="Y90" s="61"/>
      <c r="Z90" s="61"/>
      <c r="AA90" s="67"/>
    </row>
    <row r="91" spans="1:55" x14ac:dyDescent="0.25">
      <c r="A91" s="73" t="s">
        <v>24</v>
      </c>
      <c r="B91" s="57">
        <v>32312672200</v>
      </c>
      <c r="C91" s="11" t="s">
        <v>25</v>
      </c>
      <c r="D91" s="11" t="s">
        <v>204</v>
      </c>
      <c r="E91" s="11" t="s">
        <v>27</v>
      </c>
      <c r="F91" s="11" t="s">
        <v>27</v>
      </c>
      <c r="H91" s="11" t="s">
        <v>27</v>
      </c>
      <c r="I91" s="13">
        <v>8454800</v>
      </c>
      <c r="J91" s="61"/>
      <c r="K91" s="61">
        <v>1</v>
      </c>
      <c r="L91" s="61"/>
      <c r="M91" s="61">
        <v>1</v>
      </c>
      <c r="N91" s="70">
        <v>8450000</v>
      </c>
      <c r="O91" s="61"/>
      <c r="P91" s="61"/>
      <c r="Q91" s="61"/>
      <c r="R91" s="61"/>
      <c r="S91" s="61"/>
      <c r="V91" s="69">
        <v>45149</v>
      </c>
      <c r="W91" s="67"/>
      <c r="X91" s="61"/>
      <c r="Y91" s="61"/>
      <c r="Z91" s="61"/>
      <c r="AA91" s="67"/>
      <c r="AZ91" s="68"/>
    </row>
    <row r="92" spans="1:55" x14ac:dyDescent="0.25">
      <c r="A92" s="73" t="s">
        <v>24</v>
      </c>
      <c r="B92" s="57">
        <v>32312670228</v>
      </c>
      <c r="C92" s="11" t="s">
        <v>25</v>
      </c>
      <c r="D92" s="11" t="s">
        <v>205</v>
      </c>
      <c r="E92" s="11" t="s">
        <v>27</v>
      </c>
      <c r="F92" s="11" t="s">
        <v>27</v>
      </c>
      <c r="H92" s="11" t="s">
        <v>27</v>
      </c>
      <c r="I92" s="13">
        <v>8150000</v>
      </c>
      <c r="J92" s="61"/>
      <c r="K92" s="61">
        <v>1</v>
      </c>
      <c r="L92" s="61"/>
      <c r="M92" s="61">
        <v>6</v>
      </c>
      <c r="N92" s="70">
        <v>8150000</v>
      </c>
      <c r="O92" s="70">
        <v>8400000</v>
      </c>
      <c r="P92" s="70">
        <v>7900000</v>
      </c>
      <c r="Q92" s="70">
        <v>9000000</v>
      </c>
      <c r="R92" s="70"/>
      <c r="S92" s="70">
        <v>15000000</v>
      </c>
      <c r="V92" s="69">
        <v>45149</v>
      </c>
      <c r="W92" s="67"/>
      <c r="X92" s="61"/>
      <c r="Y92" s="61"/>
      <c r="Z92" s="61"/>
      <c r="AA92" s="67"/>
      <c r="AZ92" s="68"/>
    </row>
    <row r="93" spans="1:55" x14ac:dyDescent="0.25">
      <c r="A93" s="73" t="s">
        <v>30</v>
      </c>
      <c r="B93" s="57" t="s">
        <v>206</v>
      </c>
      <c r="C93" s="11" t="s">
        <v>32</v>
      </c>
      <c r="D93" s="11" t="s">
        <v>207</v>
      </c>
      <c r="E93" s="11" t="s">
        <v>27</v>
      </c>
      <c r="F93" s="11" t="s">
        <v>27</v>
      </c>
      <c r="H93" s="11" t="s">
        <v>27</v>
      </c>
      <c r="I93" s="13">
        <v>328385000</v>
      </c>
      <c r="J93" s="59"/>
      <c r="K93" s="61">
        <v>15</v>
      </c>
      <c r="L93" s="61"/>
      <c r="M93" s="61">
        <v>3</v>
      </c>
      <c r="N93" s="65">
        <v>345296735</v>
      </c>
      <c r="O93" s="65">
        <v>328385000</v>
      </c>
      <c r="P93" s="65">
        <v>350806750</v>
      </c>
      <c r="Q93" s="65"/>
      <c r="R93" s="65"/>
      <c r="S93" s="65"/>
      <c r="V93" s="69">
        <v>45127</v>
      </c>
      <c r="W93" s="67"/>
      <c r="X93" s="61"/>
      <c r="Y93" s="61"/>
      <c r="Z93" s="61"/>
      <c r="AA93" s="67"/>
    </row>
    <row r="94" spans="1:55" x14ac:dyDescent="0.25">
      <c r="A94" s="73" t="s">
        <v>30</v>
      </c>
      <c r="B94" s="57" t="s">
        <v>208</v>
      </c>
      <c r="C94" s="11" t="s">
        <v>32</v>
      </c>
      <c r="D94" s="11" t="s">
        <v>209</v>
      </c>
      <c r="E94" s="11" t="s">
        <v>27</v>
      </c>
      <c r="F94" s="11" t="s">
        <v>27</v>
      </c>
      <c r="H94" s="11" t="s">
        <v>27</v>
      </c>
      <c r="I94" s="13">
        <v>177000000</v>
      </c>
      <c r="J94" s="59"/>
      <c r="K94" s="61">
        <v>1</v>
      </c>
      <c r="L94" s="61"/>
      <c r="M94" s="61">
        <v>1</v>
      </c>
      <c r="N94" s="65">
        <v>177000000</v>
      </c>
      <c r="O94" s="65"/>
      <c r="P94" s="65"/>
      <c r="Q94" s="65"/>
      <c r="R94" s="65"/>
      <c r="S94" s="65"/>
      <c r="V94" s="69"/>
      <c r="W94" s="67"/>
      <c r="X94" s="61"/>
      <c r="Y94" s="61"/>
      <c r="Z94" s="61"/>
      <c r="AA94" s="67"/>
      <c r="AZ94" s="68"/>
      <c r="BA94" s="68"/>
    </row>
    <row r="95" spans="1:55" x14ac:dyDescent="0.25">
      <c r="A95" s="73" t="s">
        <v>24</v>
      </c>
      <c r="B95" s="57">
        <v>32312635896</v>
      </c>
      <c r="C95" s="11" t="s">
        <v>25</v>
      </c>
      <c r="D95" s="11" t="s">
        <v>210</v>
      </c>
      <c r="E95" s="11" t="s">
        <v>27</v>
      </c>
      <c r="F95" s="11" t="s">
        <v>27</v>
      </c>
      <c r="H95" s="11" t="s">
        <v>27</v>
      </c>
      <c r="I95" s="13">
        <v>795000000</v>
      </c>
      <c r="J95" s="59"/>
      <c r="K95" s="61">
        <v>1</v>
      </c>
      <c r="L95" s="61"/>
      <c r="M95" s="61">
        <v>3</v>
      </c>
      <c r="N95" s="65">
        <v>850000000</v>
      </c>
      <c r="O95" s="65">
        <v>735000000</v>
      </c>
      <c r="P95" s="65">
        <v>795000000</v>
      </c>
      <c r="Q95" s="65"/>
      <c r="R95" s="65"/>
      <c r="S95" s="65"/>
      <c r="V95" s="69"/>
      <c r="W95" s="67"/>
      <c r="X95" s="61"/>
      <c r="Y95" s="61"/>
      <c r="Z95" s="61"/>
      <c r="AA95" s="67"/>
      <c r="AZ95" s="68"/>
    </row>
    <row r="96" spans="1:55" x14ac:dyDescent="0.25">
      <c r="A96" s="73" t="s">
        <v>24</v>
      </c>
      <c r="B96" s="57">
        <v>32312634970</v>
      </c>
      <c r="C96" s="11" t="s">
        <v>25</v>
      </c>
      <c r="D96" s="11" t="s">
        <v>210</v>
      </c>
      <c r="E96" s="11" t="s">
        <v>27</v>
      </c>
      <c r="F96" s="11" t="s">
        <v>27</v>
      </c>
      <c r="H96" s="11" t="s">
        <v>27</v>
      </c>
      <c r="I96" s="13">
        <v>795000000</v>
      </c>
      <c r="J96" s="59"/>
      <c r="K96" s="61">
        <v>1</v>
      </c>
      <c r="L96" s="61"/>
      <c r="M96" s="61">
        <v>3</v>
      </c>
      <c r="N96" s="65">
        <v>850000000</v>
      </c>
      <c r="O96" s="65">
        <v>735000000</v>
      </c>
      <c r="P96" s="65">
        <v>800000000</v>
      </c>
      <c r="Q96" s="65"/>
      <c r="R96" s="65"/>
      <c r="S96" s="65"/>
      <c r="V96" s="69"/>
      <c r="W96" s="67"/>
      <c r="X96" s="61"/>
      <c r="Y96" s="61"/>
      <c r="Z96" s="61"/>
      <c r="AA96" s="67"/>
      <c r="AZ96" s="68"/>
    </row>
    <row r="97" spans="1:53" x14ac:dyDescent="0.25">
      <c r="A97" s="73" t="s">
        <v>30</v>
      </c>
      <c r="B97" s="57" t="s">
        <v>211</v>
      </c>
      <c r="C97" s="11" t="s">
        <v>32</v>
      </c>
      <c r="D97" s="11" t="s">
        <v>209</v>
      </c>
      <c r="E97" s="11" t="s">
        <v>27</v>
      </c>
      <c r="F97" s="11" t="s">
        <v>27</v>
      </c>
      <c r="H97" s="11" t="s">
        <v>27</v>
      </c>
      <c r="I97" s="13">
        <v>177000000</v>
      </c>
      <c r="J97" s="59"/>
      <c r="K97" s="61">
        <v>1</v>
      </c>
      <c r="L97" s="61"/>
      <c r="M97" s="61">
        <v>1</v>
      </c>
      <c r="N97" s="65">
        <v>177000000</v>
      </c>
      <c r="O97" s="65"/>
      <c r="P97" s="65"/>
      <c r="Q97" s="65"/>
      <c r="R97" s="65"/>
      <c r="S97" s="65"/>
      <c r="V97" s="69"/>
      <c r="W97" s="67"/>
      <c r="X97" s="61"/>
      <c r="Y97" s="61"/>
      <c r="Z97" s="61"/>
      <c r="AA97" s="67"/>
      <c r="AZ97" s="68"/>
      <c r="BA97" s="68"/>
    </row>
    <row r="98" spans="1:53" x14ac:dyDescent="0.25">
      <c r="A98" s="73" t="s">
        <v>24</v>
      </c>
      <c r="B98" s="57">
        <v>32312597910</v>
      </c>
      <c r="C98" s="11" t="s">
        <v>25</v>
      </c>
      <c r="D98" s="11" t="s">
        <v>212</v>
      </c>
      <c r="E98" s="11" t="s">
        <v>27</v>
      </c>
      <c r="F98" s="11" t="s">
        <v>27</v>
      </c>
      <c r="H98" s="11" t="s">
        <v>27</v>
      </c>
      <c r="I98" s="13">
        <v>950000000</v>
      </c>
      <c r="J98" s="59" t="s">
        <v>213</v>
      </c>
      <c r="K98" s="61">
        <v>1</v>
      </c>
      <c r="L98" s="61"/>
      <c r="M98" s="61">
        <v>5</v>
      </c>
      <c r="N98" s="65">
        <v>1183100671</v>
      </c>
      <c r="O98" s="65">
        <v>1310000000</v>
      </c>
      <c r="P98" s="65">
        <v>950000000</v>
      </c>
      <c r="Q98" s="65">
        <v>1280356988</v>
      </c>
      <c r="R98" s="65">
        <v>1150221873</v>
      </c>
      <c r="S98" s="65"/>
      <c r="V98" s="69"/>
      <c r="W98" s="67"/>
      <c r="X98" s="61"/>
      <c r="Y98" s="61"/>
      <c r="Z98" s="61"/>
      <c r="AA98" s="67"/>
      <c r="AZ98" s="68"/>
    </row>
    <row r="99" spans="1:53" x14ac:dyDescent="0.25">
      <c r="A99" s="73" t="s">
        <v>30</v>
      </c>
      <c r="B99" s="57" t="s">
        <v>214</v>
      </c>
      <c r="C99" s="11" t="s">
        <v>32</v>
      </c>
      <c r="D99" s="22" t="s">
        <v>215</v>
      </c>
      <c r="E99" s="11" t="s">
        <v>27</v>
      </c>
      <c r="F99" s="11" t="s">
        <v>27</v>
      </c>
      <c r="H99" s="11" t="s">
        <v>27</v>
      </c>
      <c r="I99" s="13">
        <v>2080133077</v>
      </c>
      <c r="J99" s="59" t="s">
        <v>216</v>
      </c>
      <c r="K99" s="61">
        <v>1</v>
      </c>
      <c r="L99" s="61">
        <v>5</v>
      </c>
      <c r="M99" s="61">
        <v>2</v>
      </c>
      <c r="N99" s="65">
        <v>2080133077</v>
      </c>
      <c r="O99" s="65">
        <v>29121863077</v>
      </c>
      <c r="P99" s="65"/>
      <c r="Q99" s="65"/>
      <c r="R99" s="65"/>
      <c r="S99" s="65"/>
      <c r="V99" s="69">
        <v>45097</v>
      </c>
      <c r="W99" s="67"/>
      <c r="X99" s="61"/>
      <c r="Y99" s="61"/>
      <c r="Z99" s="61"/>
      <c r="AA99" s="67"/>
      <c r="AZ99" s="68"/>
      <c r="BA99" s="68"/>
    </row>
    <row r="100" spans="1:53" x14ac:dyDescent="0.25">
      <c r="A100" s="73" t="s">
        <v>30</v>
      </c>
      <c r="B100" s="57" t="s">
        <v>217</v>
      </c>
      <c r="C100" s="11" t="s">
        <v>32</v>
      </c>
      <c r="D100" s="11" t="s">
        <v>218</v>
      </c>
      <c r="E100" s="11" t="s">
        <v>27</v>
      </c>
      <c r="F100" s="11" t="s">
        <v>27</v>
      </c>
      <c r="H100" s="11" t="s">
        <v>27</v>
      </c>
      <c r="I100" s="13">
        <v>373974068.99000001</v>
      </c>
      <c r="J100" s="59" t="s">
        <v>219</v>
      </c>
      <c r="K100" s="61">
        <v>1</v>
      </c>
      <c r="L100" s="61"/>
      <c r="M100" s="61">
        <v>2</v>
      </c>
      <c r="N100" s="65">
        <v>373974068.99000001</v>
      </c>
      <c r="O100" s="65">
        <v>522625984.99000001</v>
      </c>
      <c r="P100" s="65"/>
      <c r="Q100" s="65"/>
      <c r="R100" s="65"/>
      <c r="S100" s="65"/>
      <c r="V100" s="69">
        <v>45093</v>
      </c>
      <c r="W100" s="67"/>
      <c r="X100" s="61"/>
      <c r="Y100" s="61"/>
      <c r="Z100" s="61"/>
      <c r="AA100" s="67"/>
      <c r="AZ100" s="68"/>
      <c r="BA100" s="68"/>
    </row>
    <row r="101" spans="1:53" x14ac:dyDescent="0.25">
      <c r="A101" s="73" t="s">
        <v>24</v>
      </c>
      <c r="B101" s="57">
        <v>32312549431</v>
      </c>
      <c r="C101" s="11" t="s">
        <v>25</v>
      </c>
      <c r="D101" s="11" t="s">
        <v>220</v>
      </c>
      <c r="E101" s="11" t="s">
        <v>27</v>
      </c>
      <c r="F101" s="11" t="s">
        <v>27</v>
      </c>
      <c r="H101" s="11" t="s">
        <v>27</v>
      </c>
      <c r="I101" s="13">
        <v>700000000</v>
      </c>
      <c r="J101" s="59"/>
      <c r="K101" s="61">
        <v>1</v>
      </c>
      <c r="L101" s="61"/>
      <c r="M101" s="61">
        <v>3</v>
      </c>
      <c r="N101" s="65">
        <v>750000000</v>
      </c>
      <c r="O101" s="65">
        <v>700000000</v>
      </c>
      <c r="P101" s="65">
        <v>650000000</v>
      </c>
      <c r="Q101" s="65"/>
      <c r="R101" s="65"/>
      <c r="S101" s="65"/>
      <c r="V101" s="69"/>
      <c r="W101" s="67"/>
      <c r="X101" s="61"/>
      <c r="Y101" s="61"/>
      <c r="Z101" s="61"/>
      <c r="AA101" s="67"/>
    </row>
    <row r="102" spans="1:53" x14ac:dyDescent="0.25">
      <c r="A102" s="73" t="s">
        <v>24</v>
      </c>
      <c r="B102" s="57">
        <v>32312549414</v>
      </c>
      <c r="C102" s="11" t="s">
        <v>25</v>
      </c>
      <c r="D102" s="11" t="s">
        <v>220</v>
      </c>
      <c r="E102" s="11" t="s">
        <v>27</v>
      </c>
      <c r="F102" s="11" t="s">
        <v>27</v>
      </c>
      <c r="H102" s="11" t="s">
        <v>27</v>
      </c>
      <c r="I102" s="13">
        <v>760000000</v>
      </c>
      <c r="J102" s="59"/>
      <c r="K102" s="61">
        <v>1</v>
      </c>
      <c r="L102" s="61"/>
      <c r="M102" s="61">
        <v>3</v>
      </c>
      <c r="N102" s="65">
        <v>750000000</v>
      </c>
      <c r="O102" s="65">
        <v>730000000</v>
      </c>
      <c r="P102" s="65">
        <v>800000000</v>
      </c>
      <c r="Q102" s="65"/>
      <c r="R102" s="65"/>
      <c r="S102" s="65"/>
      <c r="V102" s="69"/>
      <c r="W102" s="67"/>
      <c r="X102" s="61"/>
      <c r="Y102" s="61"/>
      <c r="Z102" s="61"/>
      <c r="AA102" s="67"/>
    </row>
    <row r="103" spans="1:53" x14ac:dyDescent="0.25">
      <c r="A103" s="73" t="s">
        <v>24</v>
      </c>
      <c r="B103" s="57">
        <v>32312549429</v>
      </c>
      <c r="C103" s="11" t="s">
        <v>25</v>
      </c>
      <c r="D103" s="11" t="s">
        <v>220</v>
      </c>
      <c r="E103" s="11" t="s">
        <v>27</v>
      </c>
      <c r="F103" s="11" t="s">
        <v>27</v>
      </c>
      <c r="H103" s="11" t="s">
        <v>27</v>
      </c>
      <c r="I103" s="13">
        <v>700000000</v>
      </c>
      <c r="J103" s="59"/>
      <c r="K103" s="61">
        <v>1</v>
      </c>
      <c r="L103" s="61"/>
      <c r="M103" s="61">
        <v>3</v>
      </c>
      <c r="N103" s="65">
        <v>750000000</v>
      </c>
      <c r="O103" s="65">
        <v>700000000</v>
      </c>
      <c r="P103" s="65">
        <v>650000000</v>
      </c>
      <c r="Q103" s="65"/>
      <c r="R103" s="65"/>
      <c r="S103" s="65"/>
      <c r="V103" s="69"/>
      <c r="W103" s="67"/>
      <c r="X103" s="61"/>
      <c r="Y103" s="61"/>
      <c r="Z103" s="61"/>
      <c r="AA103" s="67"/>
    </row>
    <row r="104" spans="1:53" x14ac:dyDescent="0.25">
      <c r="A104" s="73" t="s">
        <v>30</v>
      </c>
      <c r="B104" s="57" t="s">
        <v>221</v>
      </c>
      <c r="C104" s="11" t="s">
        <v>32</v>
      </c>
      <c r="D104" s="11" t="s">
        <v>222</v>
      </c>
      <c r="E104" s="11" t="s">
        <v>27</v>
      </c>
      <c r="F104" s="11" t="s">
        <v>27</v>
      </c>
      <c r="H104" s="11" t="s">
        <v>27</v>
      </c>
      <c r="I104" s="13">
        <v>2107986219</v>
      </c>
      <c r="J104" s="59"/>
      <c r="K104" s="61">
        <v>1</v>
      </c>
      <c r="L104" s="61"/>
      <c r="M104" s="61">
        <v>2</v>
      </c>
      <c r="N104" s="65">
        <v>2107986219</v>
      </c>
      <c r="O104" s="65">
        <v>2776471609.8000002</v>
      </c>
      <c r="P104" s="65"/>
      <c r="Q104" s="65"/>
      <c r="R104" s="65"/>
      <c r="S104" s="65"/>
      <c r="V104" s="69">
        <v>45097</v>
      </c>
      <c r="W104" s="67"/>
      <c r="X104" s="61"/>
      <c r="Y104" s="61"/>
      <c r="Z104" s="61"/>
      <c r="AA104" s="67"/>
      <c r="AZ104" s="68"/>
      <c r="BA104" s="68"/>
    </row>
    <row r="105" spans="1:53" x14ac:dyDescent="0.25">
      <c r="A105" s="73" t="s">
        <v>30</v>
      </c>
      <c r="B105" s="60" t="s">
        <v>223</v>
      </c>
      <c r="C105" s="11" t="s">
        <v>32</v>
      </c>
      <c r="D105" s="11" t="s">
        <v>224</v>
      </c>
      <c r="E105" s="11" t="s">
        <v>27</v>
      </c>
      <c r="F105" s="11" t="s">
        <v>27</v>
      </c>
      <c r="H105" s="11" t="s">
        <v>27</v>
      </c>
      <c r="I105" s="13">
        <v>590199435</v>
      </c>
      <c r="J105" s="59" t="s">
        <v>225</v>
      </c>
      <c r="K105" s="61">
        <v>1</v>
      </c>
      <c r="L105" s="61">
        <v>5</v>
      </c>
      <c r="M105" s="61">
        <v>2</v>
      </c>
      <c r="N105" s="65">
        <v>590199435</v>
      </c>
      <c r="O105" s="65">
        <v>797115699</v>
      </c>
      <c r="P105" s="65"/>
      <c r="Q105" s="65"/>
      <c r="R105" s="65"/>
      <c r="S105" s="65"/>
      <c r="V105" s="69">
        <v>45096</v>
      </c>
      <c r="W105" s="67"/>
      <c r="X105" s="61"/>
      <c r="Y105" s="61"/>
      <c r="Z105" s="61"/>
      <c r="AA105" s="67"/>
      <c r="AZ105" s="68"/>
      <c r="BA105" s="68"/>
    </row>
    <row r="106" spans="1:53" x14ac:dyDescent="0.25">
      <c r="A106" s="73" t="s">
        <v>30</v>
      </c>
      <c r="B106" s="57" t="s">
        <v>226</v>
      </c>
      <c r="C106" s="11" t="s">
        <v>32</v>
      </c>
      <c r="D106" s="11" t="s">
        <v>227</v>
      </c>
      <c r="E106" s="11" t="s">
        <v>27</v>
      </c>
      <c r="F106" s="11" t="s">
        <v>27</v>
      </c>
      <c r="H106" s="11" t="s">
        <v>27</v>
      </c>
      <c r="I106" s="13">
        <v>360059402.02999997</v>
      </c>
      <c r="J106" s="59"/>
      <c r="K106" s="61">
        <v>1</v>
      </c>
      <c r="L106" s="61">
        <v>5</v>
      </c>
      <c r="M106" s="61">
        <v>2</v>
      </c>
      <c r="N106" s="65">
        <v>360059402.02999997</v>
      </c>
      <c r="O106" s="65">
        <v>463490122.5</v>
      </c>
      <c r="P106" s="65"/>
      <c r="Q106" s="65"/>
      <c r="R106" s="65"/>
      <c r="S106" s="65"/>
      <c r="V106" s="69">
        <v>45096</v>
      </c>
      <c r="W106" s="67"/>
      <c r="X106" s="61"/>
      <c r="Y106" s="61"/>
      <c r="Z106" s="61"/>
      <c r="AA106" s="67"/>
      <c r="AZ106" s="68"/>
      <c r="BA106" s="68"/>
    </row>
    <row r="107" spans="1:53" x14ac:dyDescent="0.25">
      <c r="A107" s="73" t="s">
        <v>30</v>
      </c>
      <c r="B107" s="57" t="s">
        <v>228</v>
      </c>
      <c r="C107" s="11" t="s">
        <v>32</v>
      </c>
      <c r="D107" s="11" t="s">
        <v>229</v>
      </c>
      <c r="E107" s="11" t="s">
        <v>27</v>
      </c>
      <c r="F107" s="11" t="s">
        <v>27</v>
      </c>
      <c r="H107" s="11" t="s">
        <v>27</v>
      </c>
      <c r="I107" s="13">
        <v>1976407077.0599999</v>
      </c>
      <c r="J107" s="59" t="s">
        <v>230</v>
      </c>
      <c r="K107" s="61">
        <v>1</v>
      </c>
      <c r="L107" s="61"/>
      <c r="M107" s="61">
        <v>2</v>
      </c>
      <c r="N107" s="65">
        <v>1976407077.0599999</v>
      </c>
      <c r="O107" s="65">
        <v>2766969907.8800001</v>
      </c>
      <c r="P107" s="65"/>
      <c r="Q107" s="65"/>
      <c r="R107" s="65"/>
      <c r="S107" s="65"/>
      <c r="V107" s="69"/>
      <c r="W107" s="65">
        <v>2371688492.4699998</v>
      </c>
      <c r="X107" s="65">
        <v>1976407077.0599999</v>
      </c>
      <c r="Y107" s="65">
        <v>2766969907.8800001</v>
      </c>
      <c r="Z107" s="65">
        <v>395281415.89999998</v>
      </c>
      <c r="AA107" s="65">
        <v>16.670000000000002</v>
      </c>
      <c r="AZ107" s="68"/>
      <c r="BA107" s="68"/>
    </row>
    <row r="108" spans="1:53" x14ac:dyDescent="0.25">
      <c r="A108" s="73" t="s">
        <v>30</v>
      </c>
      <c r="B108" s="57" t="s">
        <v>231</v>
      </c>
      <c r="C108" s="11" t="s">
        <v>32</v>
      </c>
      <c r="D108" s="11" t="s">
        <v>227</v>
      </c>
      <c r="E108" s="11" t="s">
        <v>27</v>
      </c>
      <c r="F108" s="11" t="s">
        <v>27</v>
      </c>
      <c r="H108" s="11" t="s">
        <v>27</v>
      </c>
      <c r="I108" s="13">
        <v>356160439.02999997</v>
      </c>
      <c r="J108" s="59"/>
      <c r="K108" s="61">
        <v>1</v>
      </c>
      <c r="L108" s="61"/>
      <c r="M108" s="61">
        <v>2</v>
      </c>
      <c r="N108" s="65">
        <v>356160439.02999997</v>
      </c>
      <c r="O108" s="65">
        <v>498624615</v>
      </c>
      <c r="P108" s="65"/>
      <c r="Q108" s="65"/>
      <c r="R108" s="65"/>
      <c r="S108" s="65"/>
      <c r="V108" s="69">
        <v>45097</v>
      </c>
      <c r="W108" s="65">
        <v>427392527.01999998</v>
      </c>
      <c r="X108" s="65">
        <v>356160439.02999997</v>
      </c>
      <c r="Y108" s="65">
        <v>498624615</v>
      </c>
      <c r="Z108" s="65">
        <v>100737384.90000001</v>
      </c>
      <c r="AA108" s="65">
        <v>23.57</v>
      </c>
      <c r="AZ108" s="68"/>
      <c r="BA108" s="68"/>
    </row>
    <row r="109" spans="1:53" x14ac:dyDescent="0.25">
      <c r="A109" s="73" t="s">
        <v>24</v>
      </c>
      <c r="B109" s="57">
        <v>32312540354</v>
      </c>
      <c r="C109" s="11" t="s">
        <v>25</v>
      </c>
      <c r="D109" s="11" t="s">
        <v>232</v>
      </c>
      <c r="E109" s="11" t="s">
        <v>27</v>
      </c>
      <c r="F109" s="11" t="s">
        <v>27</v>
      </c>
      <c r="H109" s="11" t="s">
        <v>27</v>
      </c>
      <c r="I109" s="13">
        <v>75360000</v>
      </c>
      <c r="J109" s="59"/>
      <c r="K109" s="61">
        <v>1</v>
      </c>
      <c r="L109" s="61"/>
      <c r="M109" s="61">
        <v>3</v>
      </c>
      <c r="N109" s="65">
        <v>75360000</v>
      </c>
      <c r="O109" s="65">
        <v>95000000</v>
      </c>
      <c r="P109" s="65">
        <v>98000000</v>
      </c>
      <c r="Q109" s="65"/>
      <c r="R109" s="65"/>
      <c r="S109" s="65"/>
      <c r="V109" s="69"/>
      <c r="W109" s="65">
        <v>89453333.329999998</v>
      </c>
      <c r="X109" s="61"/>
      <c r="Y109" s="61"/>
      <c r="Z109" s="61"/>
      <c r="AA109" s="67"/>
      <c r="AZ109" s="68"/>
    </row>
    <row r="110" spans="1:53" x14ac:dyDescent="0.25">
      <c r="A110" s="73" t="s">
        <v>24</v>
      </c>
      <c r="B110" s="57">
        <v>32312524784</v>
      </c>
      <c r="C110" s="11" t="s">
        <v>25</v>
      </c>
      <c r="D110" s="11" t="s">
        <v>233</v>
      </c>
      <c r="E110" s="11" t="s">
        <v>27</v>
      </c>
      <c r="F110" s="11" t="s">
        <v>27</v>
      </c>
      <c r="H110" s="11" t="s">
        <v>27</v>
      </c>
      <c r="I110" s="13">
        <v>1150000000</v>
      </c>
      <c r="J110" s="59"/>
      <c r="K110" s="61">
        <v>2</v>
      </c>
      <c r="L110" s="61"/>
      <c r="M110" s="61">
        <v>3</v>
      </c>
      <c r="N110" s="65">
        <v>525000000</v>
      </c>
      <c r="O110" s="65">
        <v>550000000</v>
      </c>
      <c r="P110" s="65">
        <v>650000000</v>
      </c>
      <c r="Q110" s="65"/>
      <c r="R110" s="65"/>
      <c r="S110" s="65"/>
      <c r="V110" s="69"/>
      <c r="W110" s="65"/>
      <c r="X110" s="61"/>
      <c r="Y110" s="61"/>
      <c r="Z110" s="61"/>
      <c r="AA110" s="67"/>
    </row>
    <row r="111" spans="1:53" x14ac:dyDescent="0.25">
      <c r="A111" s="73" t="s">
        <v>30</v>
      </c>
      <c r="B111" s="57" t="s">
        <v>234</v>
      </c>
      <c r="C111" s="11" t="s">
        <v>32</v>
      </c>
      <c r="D111" s="11" t="s">
        <v>235</v>
      </c>
      <c r="E111" s="11" t="s">
        <v>27</v>
      </c>
      <c r="F111" s="11" t="s">
        <v>27</v>
      </c>
      <c r="H111" s="11" t="s">
        <v>27</v>
      </c>
      <c r="I111" s="13">
        <v>126300000</v>
      </c>
      <c r="J111" s="59"/>
      <c r="K111" s="61">
        <v>3</v>
      </c>
      <c r="L111" s="61"/>
      <c r="M111" s="61">
        <v>3</v>
      </c>
      <c r="N111" s="65">
        <v>131985000</v>
      </c>
      <c r="O111" s="65">
        <v>129480000</v>
      </c>
      <c r="P111" s="65">
        <v>126300000</v>
      </c>
      <c r="Q111" s="65"/>
      <c r="R111" s="65"/>
      <c r="S111" s="65"/>
      <c r="V111" s="69"/>
      <c r="W111" s="65"/>
      <c r="X111" s="65"/>
      <c r="Y111" s="65"/>
      <c r="Z111" s="61"/>
      <c r="AA111" s="65">
        <v>2.2000000000000002</v>
      </c>
      <c r="AZ111" s="68"/>
      <c r="BA111" s="68"/>
    </row>
    <row r="112" spans="1:53" x14ac:dyDescent="0.25">
      <c r="A112" s="73" t="s">
        <v>30</v>
      </c>
      <c r="B112" s="57" t="s">
        <v>236</v>
      </c>
      <c r="C112" s="11" t="s">
        <v>32</v>
      </c>
      <c r="D112" s="11" t="s">
        <v>52</v>
      </c>
      <c r="E112" s="11" t="s">
        <v>27</v>
      </c>
      <c r="F112" s="11" t="s">
        <v>27</v>
      </c>
      <c r="H112" s="11" t="s">
        <v>27</v>
      </c>
      <c r="I112" s="13">
        <v>495435224</v>
      </c>
      <c r="J112" s="59" t="s">
        <v>237</v>
      </c>
      <c r="K112" s="61">
        <v>1</v>
      </c>
      <c r="L112" s="61"/>
      <c r="M112" s="61">
        <v>2</v>
      </c>
      <c r="N112" s="65">
        <v>495435224</v>
      </c>
      <c r="O112" s="65">
        <v>693607626</v>
      </c>
      <c r="P112" s="65"/>
      <c r="Q112" s="65"/>
      <c r="R112" s="65"/>
      <c r="S112" s="65"/>
      <c r="V112" s="69"/>
      <c r="W112" s="65">
        <v>594521425</v>
      </c>
      <c r="X112" s="61"/>
      <c r="Y112" s="61"/>
      <c r="Z112" s="61"/>
      <c r="AA112" s="67"/>
    </row>
    <row r="113" spans="1:53" x14ac:dyDescent="0.25">
      <c r="A113" s="73" t="s">
        <v>24</v>
      </c>
      <c r="B113" s="57">
        <v>32312382882</v>
      </c>
      <c r="C113" s="11" t="s">
        <v>25</v>
      </c>
      <c r="D113" s="11" t="s">
        <v>238</v>
      </c>
      <c r="E113" s="11" t="s">
        <v>27</v>
      </c>
      <c r="F113" s="11" t="s">
        <v>27</v>
      </c>
      <c r="H113" s="11" t="s">
        <v>27</v>
      </c>
      <c r="I113" s="13">
        <v>25000000</v>
      </c>
      <c r="J113" s="59"/>
      <c r="K113" s="61">
        <v>1</v>
      </c>
      <c r="L113" s="61"/>
      <c r="M113" s="61">
        <v>3</v>
      </c>
      <c r="N113" s="71">
        <v>27000000</v>
      </c>
      <c r="O113" s="71">
        <v>25000000</v>
      </c>
      <c r="P113" s="71">
        <v>23000000</v>
      </c>
      <c r="Q113" s="65"/>
      <c r="R113" s="65"/>
      <c r="S113" s="65"/>
      <c r="V113" s="69"/>
      <c r="W113" s="67"/>
      <c r="X113" s="61"/>
      <c r="Y113" s="61"/>
      <c r="Z113" s="61"/>
      <c r="AA113" s="67"/>
      <c r="AZ113" s="68"/>
    </row>
    <row r="114" spans="1:53" x14ac:dyDescent="0.25">
      <c r="A114" s="73" t="s">
        <v>24</v>
      </c>
      <c r="B114" s="57">
        <v>32312377959</v>
      </c>
      <c r="C114" s="11" t="s">
        <v>25</v>
      </c>
      <c r="D114" s="11" t="s">
        <v>239</v>
      </c>
      <c r="E114" s="11" t="s">
        <v>27</v>
      </c>
      <c r="F114" s="11" t="s">
        <v>27</v>
      </c>
      <c r="H114" s="11" t="s">
        <v>27</v>
      </c>
      <c r="I114" s="13">
        <v>1155000000</v>
      </c>
      <c r="J114" s="59"/>
      <c r="K114" s="61">
        <v>1</v>
      </c>
      <c r="L114" s="61"/>
      <c r="M114" s="61">
        <v>3</v>
      </c>
      <c r="N114" s="65">
        <v>1289000000</v>
      </c>
      <c r="O114" s="65">
        <v>1021000000</v>
      </c>
      <c r="P114" s="65">
        <v>1155000000</v>
      </c>
      <c r="Q114" s="65"/>
      <c r="R114" s="65"/>
      <c r="S114" s="65"/>
      <c r="V114" s="69"/>
      <c r="W114" s="65">
        <v>1155000000</v>
      </c>
      <c r="X114" s="61"/>
      <c r="Y114" s="61"/>
      <c r="Z114" s="61"/>
      <c r="AA114" s="65">
        <v>2.2000000000000002</v>
      </c>
      <c r="AZ114" s="68"/>
    </row>
    <row r="115" spans="1:53" x14ac:dyDescent="0.25">
      <c r="A115" s="73" t="s">
        <v>30</v>
      </c>
      <c r="B115" s="57" t="s">
        <v>240</v>
      </c>
      <c r="C115" s="11" t="s">
        <v>32</v>
      </c>
      <c r="D115" s="11" t="s">
        <v>235</v>
      </c>
      <c r="E115" s="11" t="s">
        <v>27</v>
      </c>
      <c r="F115" s="11" t="s">
        <v>27</v>
      </c>
      <c r="H115" s="11" t="s">
        <v>27</v>
      </c>
      <c r="I115" s="13">
        <v>126300000</v>
      </c>
      <c r="J115" s="59"/>
      <c r="K115" s="61">
        <v>3</v>
      </c>
      <c r="L115" s="61"/>
      <c r="M115" s="61">
        <v>3</v>
      </c>
      <c r="N115" s="65">
        <v>131985000</v>
      </c>
      <c r="O115" s="65">
        <v>129480000</v>
      </c>
      <c r="P115" s="65">
        <v>126300000</v>
      </c>
      <c r="Q115" s="65"/>
      <c r="R115" s="65"/>
      <c r="S115" s="65"/>
      <c r="V115" s="69"/>
      <c r="W115" s="67"/>
      <c r="X115" s="61"/>
      <c r="Y115" s="61"/>
      <c r="Z115" s="61"/>
      <c r="AA115" s="67"/>
    </row>
    <row r="116" spans="1:53" x14ac:dyDescent="0.25">
      <c r="A116" s="73" t="s">
        <v>30</v>
      </c>
      <c r="B116" s="57" t="s">
        <v>241</v>
      </c>
      <c r="C116" s="11" t="s">
        <v>32</v>
      </c>
      <c r="D116" s="11" t="s">
        <v>242</v>
      </c>
      <c r="E116" s="11" t="s">
        <v>27</v>
      </c>
      <c r="F116" s="11" t="s">
        <v>27</v>
      </c>
      <c r="H116" s="11" t="s">
        <v>27</v>
      </c>
      <c r="I116" s="13">
        <v>80450000</v>
      </c>
      <c r="J116" s="59"/>
      <c r="K116" s="61">
        <v>2</v>
      </c>
      <c r="L116" s="61"/>
      <c r="M116" s="61">
        <v>4</v>
      </c>
      <c r="N116" s="65">
        <v>82500000</v>
      </c>
      <c r="O116" s="65">
        <v>81600000</v>
      </c>
      <c r="P116" s="65">
        <v>89000000</v>
      </c>
      <c r="Q116" s="65">
        <v>80450000</v>
      </c>
      <c r="R116" s="65"/>
      <c r="S116" s="65"/>
      <c r="V116" s="69">
        <v>44959</v>
      </c>
      <c r="W116" s="65">
        <v>83387500</v>
      </c>
      <c r="X116" s="61"/>
      <c r="Y116" s="61"/>
      <c r="Z116" s="61"/>
      <c r="AA116" s="65">
        <v>4.5999999999999996</v>
      </c>
      <c r="AZ116" s="68"/>
      <c r="BA116" s="68"/>
    </row>
    <row r="117" spans="1:53" x14ac:dyDescent="0.25">
      <c r="A117" s="73" t="s">
        <v>30</v>
      </c>
      <c r="B117" s="57" t="s">
        <v>243</v>
      </c>
      <c r="C117" s="11" t="s">
        <v>32</v>
      </c>
      <c r="D117" s="11" t="s">
        <v>244</v>
      </c>
      <c r="E117" s="11" t="s">
        <v>27</v>
      </c>
      <c r="F117" s="11" t="s">
        <v>27</v>
      </c>
      <c r="H117" s="11" t="s">
        <v>27</v>
      </c>
      <c r="I117" s="13">
        <v>12173709.99</v>
      </c>
      <c r="J117" s="59"/>
      <c r="K117" s="61">
        <v>1</v>
      </c>
      <c r="L117" s="61"/>
      <c r="M117" s="61">
        <v>3</v>
      </c>
      <c r="N117" s="65">
        <v>11820980</v>
      </c>
      <c r="O117" s="65">
        <v>12163710</v>
      </c>
      <c r="P117" s="65">
        <v>12536440</v>
      </c>
      <c r="Q117" s="65"/>
      <c r="R117" s="65"/>
      <c r="S117" s="65"/>
      <c r="V117" s="69"/>
      <c r="W117" s="65"/>
      <c r="X117" s="61"/>
      <c r="Y117" s="61"/>
      <c r="Z117" s="72"/>
      <c r="AA117" s="67"/>
    </row>
    <row r="118" spans="1:53" x14ac:dyDescent="0.25">
      <c r="A118" s="73" t="s">
        <v>30</v>
      </c>
      <c r="B118" s="57" t="s">
        <v>245</v>
      </c>
      <c r="C118" s="11" t="s">
        <v>32</v>
      </c>
      <c r="D118" s="11" t="s">
        <v>246</v>
      </c>
      <c r="E118" s="11" t="s">
        <v>27</v>
      </c>
      <c r="F118" s="11" t="s">
        <v>27</v>
      </c>
      <c r="H118" s="11" t="s">
        <v>27</v>
      </c>
      <c r="I118" s="13">
        <v>100050000</v>
      </c>
      <c r="J118" s="59"/>
      <c r="K118" s="61">
        <v>1</v>
      </c>
      <c r="L118" s="61">
        <v>10</v>
      </c>
      <c r="M118" s="61">
        <v>3</v>
      </c>
      <c r="N118" s="65">
        <v>101000000</v>
      </c>
      <c r="O118" s="65">
        <v>94150000</v>
      </c>
      <c r="P118" s="65">
        <v>105000000</v>
      </c>
      <c r="Q118" s="65"/>
      <c r="R118" s="65"/>
      <c r="S118" s="65"/>
      <c r="V118" s="69">
        <v>45028</v>
      </c>
      <c r="W118" s="67"/>
      <c r="X118" s="61"/>
      <c r="Y118" s="61"/>
      <c r="Z118" s="61"/>
      <c r="AA118" s="67"/>
      <c r="AZ118" s="68"/>
      <c r="BA118" s="68"/>
    </row>
    <row r="119" spans="1:53" x14ac:dyDescent="0.25">
      <c r="A119" s="73" t="s">
        <v>30</v>
      </c>
      <c r="B119" s="57" t="s">
        <v>247</v>
      </c>
      <c r="C119" s="11" t="s">
        <v>32</v>
      </c>
      <c r="D119" s="11" t="s">
        <v>248</v>
      </c>
      <c r="E119" s="11" t="s">
        <v>27</v>
      </c>
      <c r="F119" s="11" t="s">
        <v>27</v>
      </c>
      <c r="H119" s="11" t="s">
        <v>27</v>
      </c>
      <c r="I119" s="13">
        <v>3055000</v>
      </c>
      <c r="J119" s="59"/>
      <c r="K119" s="61">
        <v>1</v>
      </c>
      <c r="L119" s="61"/>
      <c r="M119" s="61">
        <v>3</v>
      </c>
      <c r="N119" s="65">
        <v>3000000</v>
      </c>
      <c r="O119" s="65">
        <v>3055000</v>
      </c>
      <c r="P119" s="65">
        <v>3110000</v>
      </c>
      <c r="Q119" s="65"/>
      <c r="R119" s="65"/>
      <c r="S119" s="65"/>
      <c r="V119" s="69">
        <v>44995</v>
      </c>
      <c r="W119" s="65">
        <v>3055000</v>
      </c>
      <c r="X119" s="61"/>
      <c r="Y119" s="61"/>
      <c r="Z119" s="65">
        <v>55000</v>
      </c>
      <c r="AA119" s="65">
        <v>1.8</v>
      </c>
      <c r="AZ119" s="68"/>
      <c r="BA119" s="68"/>
    </row>
    <row r="120" spans="1:53" x14ac:dyDescent="0.25">
      <c r="A120" s="73" t="s">
        <v>24</v>
      </c>
      <c r="B120" s="57">
        <v>32312132141</v>
      </c>
      <c r="C120" s="11" t="s">
        <v>25</v>
      </c>
      <c r="D120" s="11" t="s">
        <v>239</v>
      </c>
      <c r="E120" s="11" t="s">
        <v>27</v>
      </c>
      <c r="F120" s="11" t="s">
        <v>27</v>
      </c>
      <c r="H120" s="11" t="s">
        <v>27</v>
      </c>
      <c r="I120" s="13">
        <v>1155000000</v>
      </c>
      <c r="J120" s="59"/>
      <c r="K120" s="61">
        <v>1</v>
      </c>
      <c r="L120" s="61"/>
      <c r="M120" s="61">
        <v>3</v>
      </c>
      <c r="N120" s="65">
        <v>1289000000</v>
      </c>
      <c r="O120" s="65">
        <v>1021000000</v>
      </c>
      <c r="P120" s="65">
        <v>1155000000</v>
      </c>
      <c r="Q120" s="65"/>
      <c r="R120" s="65"/>
      <c r="S120" s="65"/>
      <c r="V120" s="69">
        <v>44974</v>
      </c>
      <c r="W120" s="65">
        <v>1155000000</v>
      </c>
      <c r="X120" s="61"/>
      <c r="Y120" s="61"/>
      <c r="Z120" s="61"/>
      <c r="AA120" s="67"/>
    </row>
    <row r="121" spans="1:53" x14ac:dyDescent="0.25">
      <c r="A121" s="73" t="s">
        <v>30</v>
      </c>
      <c r="B121" s="57" t="s">
        <v>249</v>
      </c>
      <c r="C121" s="11" t="s">
        <v>32</v>
      </c>
      <c r="D121" s="11" t="s">
        <v>250</v>
      </c>
      <c r="E121" s="11" t="s">
        <v>27</v>
      </c>
      <c r="F121" s="11" t="s">
        <v>27</v>
      </c>
      <c r="H121" s="11" t="s">
        <v>27</v>
      </c>
      <c r="I121" s="13">
        <v>12000000</v>
      </c>
      <c r="J121" s="59"/>
      <c r="K121" s="61">
        <v>1</v>
      </c>
      <c r="L121" s="61"/>
      <c r="M121" s="61">
        <v>3</v>
      </c>
      <c r="N121" s="65">
        <v>11950000</v>
      </c>
      <c r="O121" s="65">
        <v>12100000</v>
      </c>
      <c r="P121" s="65">
        <v>12163710</v>
      </c>
      <c r="Q121" s="65"/>
      <c r="R121" s="65"/>
      <c r="S121" s="65"/>
      <c r="V121" s="69"/>
      <c r="W121" s="65">
        <v>12071236.67</v>
      </c>
      <c r="X121" s="61"/>
      <c r="Y121" s="61"/>
      <c r="Z121" s="61">
        <v>109720.04</v>
      </c>
      <c r="AA121" s="65">
        <v>0.91</v>
      </c>
    </row>
    <row r="122" spans="1:53" x14ac:dyDescent="0.25">
      <c r="A122" s="73" t="s">
        <v>24</v>
      </c>
      <c r="B122" s="57">
        <v>32312098080</v>
      </c>
      <c r="C122" s="11" t="s">
        <v>25</v>
      </c>
      <c r="D122" s="11" t="s">
        <v>251</v>
      </c>
      <c r="E122" s="11" t="s">
        <v>27</v>
      </c>
      <c r="F122" s="11" t="s">
        <v>27</v>
      </c>
      <c r="H122" s="11" t="s">
        <v>27</v>
      </c>
      <c r="I122" s="13">
        <v>72500000</v>
      </c>
      <c r="J122" s="59"/>
      <c r="K122" s="61">
        <v>1</v>
      </c>
      <c r="L122" s="61"/>
      <c r="M122" s="61">
        <v>5</v>
      </c>
      <c r="N122" s="65">
        <v>72500000</v>
      </c>
      <c r="O122" s="65">
        <v>95624000</v>
      </c>
      <c r="P122" s="65">
        <v>87500000</v>
      </c>
      <c r="Q122" s="65">
        <v>87550000</v>
      </c>
      <c r="R122" s="65" t="s">
        <v>252</v>
      </c>
      <c r="S122" s="65"/>
      <c r="V122" s="69"/>
      <c r="W122" s="67"/>
      <c r="X122" s="61"/>
      <c r="Y122" s="61"/>
      <c r="Z122" s="61"/>
      <c r="AA122" s="67"/>
      <c r="AZ122" s="68"/>
    </row>
    <row r="123" spans="1:53" x14ac:dyDescent="0.25">
      <c r="A123" s="73" t="s">
        <v>24</v>
      </c>
      <c r="B123" s="57">
        <v>32312031225</v>
      </c>
      <c r="C123" s="11" t="s">
        <v>25</v>
      </c>
      <c r="D123" s="11" t="s">
        <v>253</v>
      </c>
      <c r="E123" s="11" t="s">
        <v>27</v>
      </c>
      <c r="F123" s="11" t="s">
        <v>27</v>
      </c>
      <c r="H123" s="11" t="s">
        <v>27</v>
      </c>
      <c r="I123" s="13">
        <v>510056368</v>
      </c>
      <c r="J123" s="59"/>
      <c r="K123" s="61">
        <v>1</v>
      </c>
      <c r="L123" s="61"/>
      <c r="M123" s="61">
        <v>6</v>
      </c>
      <c r="N123" s="65">
        <v>518952700</v>
      </c>
      <c r="O123" s="65">
        <v>664259456</v>
      </c>
      <c r="P123" s="65">
        <v>623632873.20000005</v>
      </c>
      <c r="Q123" s="65">
        <v>693320807.20000005</v>
      </c>
      <c r="R123" s="65">
        <v>516728617</v>
      </c>
      <c r="S123" s="65">
        <v>510056368</v>
      </c>
      <c r="V123" s="69"/>
      <c r="W123" s="67"/>
      <c r="X123" s="61"/>
      <c r="Y123" s="61"/>
      <c r="Z123" s="61"/>
      <c r="AA123" s="67"/>
    </row>
    <row r="124" spans="1:53" x14ac:dyDescent="0.25">
      <c r="A124" s="73" t="s">
        <v>24</v>
      </c>
      <c r="B124" s="57">
        <v>32312023607</v>
      </c>
      <c r="C124" s="11" t="s">
        <v>25</v>
      </c>
      <c r="D124" s="11" t="s">
        <v>254</v>
      </c>
      <c r="E124" s="11" t="s">
        <v>27</v>
      </c>
      <c r="F124" s="11" t="s">
        <v>27</v>
      </c>
      <c r="H124" s="11" t="s">
        <v>27</v>
      </c>
      <c r="I124" s="13">
        <v>325000000</v>
      </c>
      <c r="J124" s="59"/>
      <c r="K124" s="61">
        <v>1</v>
      </c>
      <c r="L124" s="61"/>
      <c r="M124" s="61">
        <v>5</v>
      </c>
      <c r="N124" s="65">
        <v>325000000</v>
      </c>
      <c r="O124" s="65">
        <v>339699000</v>
      </c>
      <c r="P124" s="65">
        <v>350000000</v>
      </c>
      <c r="Q124" s="65">
        <v>369622000</v>
      </c>
      <c r="R124" s="65">
        <v>462000000</v>
      </c>
      <c r="S124" s="65"/>
      <c r="V124" s="69"/>
      <c r="W124" s="67"/>
      <c r="X124" s="61"/>
      <c r="Y124" s="61"/>
      <c r="Z124" s="61"/>
      <c r="AA124" s="67"/>
      <c r="AZ124" s="68"/>
    </row>
  </sheetData>
  <phoneticPr fontId="4" type="noConversion"/>
  <hyperlinks>
    <hyperlink ref="B4" r:id="rId1" xr:uid="{1D6916E1-012C-4CC3-9B43-01F8A6F32952}"/>
    <hyperlink ref="B19" r:id="rId2" xr:uid="{ECD9FC32-9DFE-4D22-AFC9-468433D56C3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НМЦК 2023+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Померанец</dc:creator>
  <cp:lastModifiedBy>Сергей Якупов</cp:lastModifiedBy>
  <dcterms:created xsi:type="dcterms:W3CDTF">2026-05-27T11:08:37Z</dcterms:created>
  <dcterms:modified xsi:type="dcterms:W3CDTF">2026-06-03T12:36:17Z</dcterms:modified>
</cp:coreProperties>
</file>